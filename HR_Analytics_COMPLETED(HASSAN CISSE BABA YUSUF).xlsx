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us\Desktop\iotb\"/>
    </mc:Choice>
  </mc:AlternateContent>
  <xr:revisionPtr revIDLastSave="0" documentId="13_ncr:1_{47863EAE-9B98-4850-9CDF-273E888E7EAE}" xr6:coauthVersionLast="47" xr6:coauthVersionMax="47" xr10:uidLastSave="{00000000-0000-0000-0000-000000000000}"/>
  <bookViews>
    <workbookView xWindow="-108" yWindow="-108" windowWidth="23256" windowHeight="12456" activeTab="1" xr2:uid="{00000000-000D-0000-FFFF-FFFF00000000}"/>
  </bookViews>
  <sheets>
    <sheet name="Analysiss" sheetId="8" r:id="rId1"/>
    <sheet name="HR DASHBOARD" sheetId="11" r:id="rId2"/>
    <sheet name="Raw_Employee_Data" sheetId="1" r:id="rId3"/>
    <sheet name="Lookup_Departments" sheetId="2" r:id="rId4"/>
    <sheet name="Lookup_Performance" sheetId="3" r:id="rId5"/>
  </sheets>
  <definedNames>
    <definedName name="Slicer_Department_Name">#N/A</definedName>
    <definedName name="Slicer_Employment_Status">#N/A</definedName>
    <definedName name="Slicer_Performance_Ban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11" l="1"/>
  <c r="K4" i="11"/>
  <c r="H4" i="11"/>
  <c r="B4" i="1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 i="1"/>
  <c r="L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2" i="1"/>
</calcChain>
</file>

<file path=xl/sharedStrings.xml><?xml version="1.0" encoding="utf-8"?>
<sst xmlns="http://schemas.openxmlformats.org/spreadsheetml/2006/main" count="984" uniqueCount="250">
  <si>
    <t>Emp ID</t>
  </si>
  <si>
    <t>First_Name</t>
  </si>
  <si>
    <t>Last_Name</t>
  </si>
  <si>
    <t>Dept Code</t>
  </si>
  <si>
    <t>Hire Date</t>
  </si>
  <si>
    <t>Salary</t>
  </si>
  <si>
    <t>Perf_Score</t>
  </si>
  <si>
    <t>Employment Status</t>
  </si>
  <si>
    <t>EMP127</t>
  </si>
  <si>
    <t>Emily</t>
  </si>
  <si>
    <t>Brown</t>
  </si>
  <si>
    <t>IT02</t>
  </si>
  <si>
    <t>EMP046</t>
  </si>
  <si>
    <t>Richard</t>
  </si>
  <si>
    <t>Hernandez</t>
  </si>
  <si>
    <t>MKT04</t>
  </si>
  <si>
    <t xml:space="preserve"> ACTIVE </t>
  </si>
  <si>
    <t>EMP134</t>
  </si>
  <si>
    <t>Gonzalez</t>
  </si>
  <si>
    <t>EMP139</t>
  </si>
  <si>
    <t>John</t>
  </si>
  <si>
    <t>Martinez</t>
  </si>
  <si>
    <t>FIN03</t>
  </si>
  <si>
    <t>EMP112</t>
  </si>
  <si>
    <t>Thomas</t>
  </si>
  <si>
    <t>Smith</t>
  </si>
  <si>
    <t>EMP030</t>
  </si>
  <si>
    <t>Johnson</t>
  </si>
  <si>
    <t>OPS06</t>
  </si>
  <si>
    <t>EMP096</t>
  </si>
  <si>
    <t>Wilson</t>
  </si>
  <si>
    <t>EMP098</t>
  </si>
  <si>
    <t>Jessica</t>
  </si>
  <si>
    <t>EMP095</t>
  </si>
  <si>
    <t>Rodriguez</t>
  </si>
  <si>
    <t>EMP140</t>
  </si>
  <si>
    <t>Michael</t>
  </si>
  <si>
    <t>SAL05</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</si>
  <si>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</si>
  <si>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</si>
  <si>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</si>
  <si>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</si>
  <si>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</si>
  <si>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</si>
  <si>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</si>
  <si>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</si>
  <si>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</si>
  <si>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</si>
  <si>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</si>
  <si>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</si>
  <si>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</si>
  <si>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</si>
  <si>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</si>
  <si>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</si>
  <si>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</si>
  <si>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</si>
  <si>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</si>
  <si>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</si>
  <si>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</si>
  <si>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</si>
  <si>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</si>
  <si>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</si>
  <si>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</si>
  <si>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</si>
  <si>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</si>
  <si>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</si>
  <si>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</si>
  <si>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</si>
  <si>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</si>
  <si>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</si>
  <si>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</si>
  <si>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</si>
  <si>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</si>
  <si>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</si>
  <si>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</si>
  <si>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</si>
  <si>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</si>
  <si>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</si>
  <si>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</si>
  <si>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</si>
  <si>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</si>
  <si>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</si>
  <si>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</si>
  <si>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</si>
  <si>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</si>
  <si>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</si>
  <si>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</si>
  <si>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</si>
  <si>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</si>
  <si>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</si>
  <si>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</si>
  <si>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</si>
  <si>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</si>
  <si>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</si>
  <si>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</si>
  <si>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</si>
  <si>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</si>
  <si>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</si>
  <si>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</si>
  <si>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</si>
  <si>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</si>
  <si>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</si>
  <si>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</si>
  <si>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</si>
  <si>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</si>
  <si>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</si>
  <si>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</si>
  <si>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</si>
  <si>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</si>
  <si>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</si>
  <si>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</si>
  <si>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</si>
  <si>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</si>
  <si>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</si>
  <si>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</si>
  <si>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</si>
  <si>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</si>
  <si>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</si>
  <si>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</si>
  <si>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</si>
  <si>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</si>
  <si>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</si>
  <si>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</si>
  <si>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</si>
  <si>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</si>
  <si>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</si>
  <si>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</si>
  <si>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</si>
  <si>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</si>
  <si>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</si>
  <si>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</si>
  <si>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</si>
  <si>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</si>
  <si>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</si>
  <si>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</si>
  <si>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</si>
  <si>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</si>
  <si>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</si>
  <si>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</si>
  <si>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</si>
  <si>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</si>
  <si>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</si>
  <si>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</si>
  <si>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</si>
  <si>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</si>
  <si>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</si>
  <si>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</si>
  <si>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</si>
  <si>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</si>
  <si>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</si>
  <si>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</si>
  <si>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</si>
  <si>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</si>
  <si>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</si>
  <si>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</si>
  <si>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</si>
  <si>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</si>
  <si>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</si>
  <si>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</si>
  <si>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</si>
  <si>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</si>
  <si>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</si>
  <si>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</si>
  <si>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</si>
  <si>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</si>
  <si>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</si>
  <si>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</si>
  <si>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</si>
  <si>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</si>
  <si>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</si>
  <si>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</si>
  <si>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</si>
  <si>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</si>
  <si>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</si>
  <si>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</si>
  <si>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</si>
  <si>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</si>
  <si>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</si>
  <si>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</si>
  <si>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</si>
  <si>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</si>
  <si>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</si>
  <si>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</si>
  <si>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</si>
  <si>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</si>
  <si>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</si>
  <si>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</si>
  <si>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</si>
  <si>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</si>
  <si>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</si>
  <si>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</si>
  <si>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</si>
  <si>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</si>
  <si>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</si>
  <si>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</si>
  <si>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</si>
  <si>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</si>
  <si>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</si>
  <si>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</si>
  <si>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</si>
  <si>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</si>
  <si>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</si>
  <si>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</si>
  <si>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</si>
  <si>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</si>
  <si>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</si>
  <si>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</si>
  <si>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</si>
  <si>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</si>
  <si>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</si>
  <si>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</si>
  <si>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</si>
  <si>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Unknown</t>
  </si>
  <si>
    <t>Full Name</t>
  </si>
  <si>
    <t>Department Name</t>
  </si>
  <si>
    <t>Years of Service</t>
  </si>
  <si>
    <t>8 Years</t>
  </si>
  <si>
    <t>4 Years</t>
  </si>
  <si>
    <t>10 Years</t>
  </si>
  <si>
    <t>3 Years</t>
  </si>
  <si>
    <t>6 Years</t>
  </si>
  <si>
    <t>2 Years</t>
  </si>
  <si>
    <t>5 Years</t>
  </si>
  <si>
    <t>9 Years</t>
  </si>
  <si>
    <t>7 Years</t>
  </si>
  <si>
    <t>11 Years</t>
  </si>
  <si>
    <t>Performance Band</t>
  </si>
  <si>
    <t>Eligible Bonus Amount</t>
  </si>
  <si>
    <t>Row Labels</t>
  </si>
  <si>
    <t>Grand Total</t>
  </si>
  <si>
    <t>Average of Salary</t>
  </si>
  <si>
    <t>Count of Emp ID</t>
  </si>
  <si>
    <t>Active</t>
  </si>
  <si>
    <t>Left</t>
  </si>
  <si>
    <t>Resigned</t>
  </si>
  <si>
    <t>Column Labels</t>
  </si>
  <si>
    <t>Average of Perf_Score</t>
  </si>
  <si>
    <t>Sum of Eligible Bonus Amount</t>
  </si>
  <si>
    <t>Department</t>
  </si>
  <si>
    <t>Employment Satus</t>
  </si>
  <si>
    <t>HR ANALYTICS DASHBOARDS</t>
  </si>
  <si>
    <t>TOTAL EMPLOYEES</t>
  </si>
  <si>
    <t>AVERAGE SALARY</t>
  </si>
  <si>
    <t>ATTRITION RATE</t>
  </si>
  <si>
    <t>AVERERAGE PERFORMANCE</t>
  </si>
  <si>
    <t>ACTIVE</t>
  </si>
  <si>
    <t>RESIGNED</t>
  </si>
  <si>
    <t xml:space="preserve"> LEFT </t>
  </si>
  <si>
    <t>LEFT</t>
  </si>
  <si>
    <t>Employee Performance &amp; Retention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</si>
</sst>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0.0%"/>
    <numFmt numFmtId="167" formatCode="0.0"/>
  </numFmts>
  <fonts count="19">
    <font>
      <sz val="11"/>
      <color theme="1"/>
      <name val="Calibri"/>
      <family val="2"/>
      <scheme val="minor"/>
    </font>
    <font>
      <b/>
      <sz val="11"/>
      <name val="Calibri"/>
      <family val="2"/>
      <charset val="162"/>
    </font>
    <font>
      <sz val="10"/>
      <color theme="1"/>
      <name val="Arial Unicode MS"/>
    </font>
    <font>
      <sz val="22"/>
      <color theme="1"/>
      <name val="Calibri"/>
      <family val="2"/>
      <charset val="162"/>
      <scheme val="minor"/>
    </font>
    <font>
      <b/>
      <sz val="18"/>
      <color theme="3"/>
      <name val="Calibri"/>
      <family val="2"/>
      <charset val="162"/>
      <scheme val="minor"/>
    </font>
    <font>
      <b/>
      <sz val="18"/>
      <color theme="6"/>
      <name val="Calibri"/>
      <family val="2"/>
      <charset val="162"/>
      <scheme val="minor"/>
    </font>
    <font>
      <b/>
      <sz val="18"/>
      <color rgb="FFC00000"/>
      <name val="Calibri"/>
      <family val="2"/>
      <charset val="162"/>
      <scheme val="minor"/>
    </font>
    <font>
      <b/>
      <sz val="18"/>
      <color theme="7"/>
      <name val="Calibri"/>
      <family val="2"/>
      <scheme val="minor"/>
    </font>
    <font>
      <sz val="11"/>
      <color theme="7"/>
      <name val="Calibri"/>
      <family val="2"/>
      <scheme val="minor"/>
    </font>
    <font>
      <b/>
      <sz val="10"/>
      <color theme="3"/>
      <name val="Calibri"/>
      <family val="2"/>
      <charset val="162"/>
      <scheme val="minor"/>
    </font>
    <font>
      <b/>
      <sz val="10"/>
      <color theme="6"/>
      <name val="Calibri"/>
      <family val="2"/>
      <charset val="162"/>
      <scheme val="minor"/>
    </font>
    <font>
      <b/>
      <sz val="10"/>
      <color rgb="FFC00000"/>
      <name val="Calibri"/>
      <family val="2"/>
      <charset val="162"/>
      <scheme val="minor"/>
    </font>
    <font>
      <b/>
      <sz val="10"/>
      <color theme="7"/>
      <name val="Calibri"/>
      <family val="2"/>
      <scheme val="minor"/>
    </font>
    <font>
      <i/>
      <sz val="12"/>
      <color theme="1" tint="0.499984740745262"/>
      <name val="Consolas"/>
      <family val="3"/>
      <charset val="162"/>
    </font>
    <font>
      <sz val="22"/>
      <color theme="3"/>
      <name val="Calibri"/>
      <family val="2"/>
      <charset val="162"/>
      <scheme val="minor"/>
    </font>
    <font>
      <sz val="11"/>
      <color theme="3"/>
      <name val="Calibri"/>
      <family val="2"/>
      <scheme val="minor"/>
    </font>
    <font>
      <i/>
      <sz val="12"/>
      <color theme="3"/>
      <name val="Consolas"/>
      <family val="3"/>
      <charset val="162"/>
    </font>
    <font>
      <b/>
      <sz val="10"/>
      <color theme="3"/>
      <name val="Calibri"/>
      <family val="2"/>
      <scheme val="minor"/>
    </font>
    <font>
      <b/>
      <sz val="18"/>
      <color theme="3"/>
      <name val="Calibri"/>
      <family val="2"/>
      <scheme val="minor"/>
    </font>
  </fonts>
  <fills count="2">
    <fill>
      <patternFill patternType="none"/>
    </fill>
    <fill>
      <patternFill patternType="gray125"/>
    </fill>
  </fills>
  <borders count="23">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15" xfId="0" applyBorder="1"/>
    <xf numFmtId="0" fontId="0" fillId="0" borderId="16" xfId="0" applyBorder="1"/>
    <xf numFmtId="0" fontId="4" fillId="0" borderId="17" xfId="0" applyFont="1" applyBorder="1"/>
    <xf numFmtId="0" fontId="0" fillId="0" borderId="18" xfId="0" applyBorder="1"/>
    <xf numFmtId="0" fontId="0" fillId="0" borderId="19" xfId="0" applyBorder="1"/>
    <xf numFmtId="165" fontId="5" fillId="0" borderId="17" xfId="0" applyNumberFormat="1" applyFont="1" applyBorder="1"/>
    <xf numFmtId="166" fontId="6" fillId="0" borderId="18" xfId="0" applyNumberFormat="1" applyFont="1" applyBorder="1"/>
    <xf numFmtId="167" fontId="7" fillId="0" borderId="18" xfId="0" applyNumberFormat="1" applyFont="1" applyBorder="1"/>
    <xf numFmtId="0" fontId="8" fillId="0" borderId="18" xfId="0" applyFont="1" applyBorder="1"/>
    <xf numFmtId="0" fontId="8" fillId="0" borderId="15" xfId="0" applyFont="1" applyBorder="1"/>
    <xf numFmtId="0" fontId="0" fillId="0" borderId="20" xfId="0" applyBorder="1"/>
    <xf numFmtId="0" fontId="0" fillId="0" borderId="21" xfId="0" applyBorder="1"/>
    <xf numFmtId="0" fontId="3"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22" xfId="0" applyBorder="1"/>
    <xf numFmtId="0" fontId="9" fillId="0" borderId="14" xfId="0" applyFont="1" applyBorder="1"/>
    <xf numFmtId="0" fontId="10" fillId="0" borderId="14" xfId="0" applyFont="1" applyBorder="1"/>
    <xf numFmtId="0" fontId="11" fillId="0" borderId="15" xfId="0" applyFont="1" applyBorder="1"/>
    <xf numFmtId="0" fontId="12" fillId="0" borderId="15" xfId="0" applyFont="1" applyBorder="1"/>
    <xf numFmtId="0" fontId="13" fillId="0" borderId="15" xfId="0" applyFont="1" applyBorder="1" applyAlignment="1">
      <alignment horizontal="center"/>
    </xf>
    <xf numFmtId="0" fontId="13" fillId="0" borderId="16" xfId="0" applyFont="1" applyBorder="1" applyAlignment="1">
      <alignment horizontal="center"/>
    </xf>
    <xf numFmtId="0" fontId="14" fillId="0" borderId="11" xfId="0" applyFont="1" applyBorder="1" applyAlignment="1">
      <alignment horizontal="center"/>
    </xf>
    <xf numFmtId="0" fontId="15" fillId="0" borderId="12" xfId="0" applyFont="1" applyBorder="1" applyAlignment="1">
      <alignment horizontal="center"/>
    </xf>
    <xf numFmtId="0" fontId="15" fillId="0" borderId="13"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xf>
    <xf numFmtId="0" fontId="15" fillId="0" borderId="0" xfId="0" applyFont="1"/>
    <xf numFmtId="0" fontId="15" fillId="0" borderId="15" xfId="0" applyFont="1" applyBorder="1"/>
    <xf numFmtId="0" fontId="15" fillId="0" borderId="16" xfId="0" applyFont="1" applyBorder="1"/>
    <xf numFmtId="0" fontId="15" fillId="0" borderId="20" xfId="0" applyFont="1" applyBorder="1"/>
    <xf numFmtId="0" fontId="9" fillId="0" borderId="15" xfId="0" applyFont="1" applyBorder="1"/>
    <xf numFmtId="0" fontId="17" fillId="0" borderId="15" xfId="0" applyFont="1" applyBorder="1"/>
    <xf numFmtId="0" fontId="15" fillId="0" borderId="18" xfId="0" applyFont="1" applyBorder="1"/>
    <xf numFmtId="0" fontId="15" fillId="0" borderId="19" xfId="0" applyFont="1" applyBorder="1"/>
    <xf numFmtId="165" fontId="4" fillId="0" borderId="17" xfId="0" applyNumberFormat="1" applyFont="1" applyBorder="1"/>
    <xf numFmtId="0" fontId="15" fillId="0" borderId="21" xfId="0" applyFont="1" applyBorder="1"/>
    <xf numFmtId="166" fontId="4" fillId="0" borderId="18" xfId="0" applyNumberFormat="1" applyFont="1" applyBorder="1"/>
    <xf numFmtId="167" fontId="18" fillId="0" borderId="18"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HEADCOUNT</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Analysiss!$B$3</c:f>
              <c:strCache>
                <c:ptCount val="1"/>
                <c:pt idx="0">
                  <c:v>Count of Emp ID</c:v>
                </c:pt>
              </c:strCache>
            </c:strRef>
          </c:tx>
          <c:spPr>
            <a:solidFill>
              <a:schemeClr val="accent1"/>
            </a:solidFill>
            <a:ln>
              <a:noFill/>
            </a:ln>
            <a:effectLst/>
          </c:spPr>
          <c:invertIfNegative val="0"/>
          <c:cat>
            <c:strRef>
              <c:f>Analysiss!$A$4:$A$10</c:f>
              <c:strCache>
                <c:ptCount val="6"/>
                <c:pt idx="0">
                  <c:v>Finance</c:v>
                </c:pt>
                <c:pt idx="1">
                  <c:v>Human Resources</c:v>
                </c:pt>
                <c:pt idx="2">
                  <c:v>Information Technology</c:v>
                </c:pt>
                <c:pt idx="3">
                  <c:v>Marketing</c:v>
                </c:pt>
                <c:pt idx="4">
                  <c:v>Operations</c:v>
                </c:pt>
                <c:pt idx="5">
                  <c:v>Sales</c:v>
                </c:pt>
              </c:strCache>
            </c:strRef>
          </c:cat>
          <c:val>
            <c:numRef>
              <c:f>Analysiss!$B$4:$B$10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B68D-44F4-A3D8-3DC65A8EB5C0}"/>
            </c:ext>
          </c:extLst>
        </c:ser>
        <c:ser>
          <c:idx val="1"/>
          <c:order val="1"/>
          <c:tx>
            <c:strRef>
              <c:f>Analysiss!$C$3</c:f>
              <c:strCache>
                <c:ptCount val="1"/>
                <c:pt idx="0">
                  <c:v>Average of Salary</c:v>
                </c:pt>
              </c:strCache>
            </c:strRef>
          </c:tx>
          <c:spPr>
            <a:solidFill>
              <a:schemeClr val="accent2"/>
            </a:solidFill>
            <a:ln>
              <a:noFill/>
            </a:ln>
            <a:effectLst/>
          </c:spPr>
          <c:invertIfNegative val="0"/>
          <c:cat>
            <c:strRef>
              <c:f>Analysiss!$A$4:$A$10</c:f>
              <c:strCache>
                <c:ptCount val="6"/>
                <c:pt idx="0">
                  <c:v>Finance</c:v>
                </c:pt>
                <c:pt idx="1">
                  <c:v>Human Resources</c:v>
                </c:pt>
                <c:pt idx="2">
                  <c:v>Information Technology</c:v>
                </c:pt>
                <c:pt idx="3">
                  <c:v>Marketing</c:v>
                </c:pt>
                <c:pt idx="4">
                  <c:v>Operations</c:v>
                </c:pt>
                <c:pt idx="5">
                  <c:v>Sales</c:v>
                </c:pt>
              </c:strCache>
            </c:strRef>
          </c:cat>
          <c:val>
            <c:numRef>
              <c:f>Analysiss!$C$4:$C$10</c:f>
              <c:numCache>
                <c:formatCode>"$"#,##0.00</c:formatCode>
                <c:ptCount val="6"/>
                <c:pt idx="0">
                  <c:v>72419.941176470587</c:v>
                </c:pt>
                <c:pt idx="1">
                  <c:v>80891.611111111109</c:v>
                </c:pt>
                <c:pt idx="2">
                  <c:v>68901.166666666672</c:v>
                </c:pt>
                <c:pt idx="3">
                  <c:v>81007.736842105267</c:v>
                </c:pt>
                <c:pt idx="4">
                  <c:v>74284.137931034478</c:v>
                </c:pt>
                <c:pt idx="5">
                  <c:v>64757.870967741932</c:v>
                </c:pt>
              </c:numCache>
            </c:numRef>
          </c:val>
          <c:extLst>
            <c:ext xmlns:c16="http://schemas.microsoft.com/office/drawing/2014/chart" uri="{C3380CC4-5D6E-409C-BE32-E72D297353CC}">
              <c16:uniqueId val="{00000001-B68D-44F4-A3D8-3DC65A8EB5C0}"/>
            </c:ext>
          </c:extLst>
        </c:ser>
        <c:dLbls>
          <c:showLegendKey val="0"/>
          <c:showVal val="0"/>
          <c:showCatName val="0"/>
          <c:showSerName val="0"/>
          <c:showPercent val="0"/>
          <c:showBubbleSize val="0"/>
        </c:dLbls>
        <c:gapWidth val="219"/>
        <c:overlap val="-27"/>
        <c:axId val="667212288"/>
        <c:axId val="667210128"/>
      </c:barChart>
      <c:catAx>
        <c:axId val="6672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10128"/>
        <c:crosses val="autoZero"/>
        <c:auto val="1"/>
        <c:lblAlgn val="ctr"/>
        <c:lblOffset val="100"/>
        <c:noMultiLvlLbl val="0"/>
      </c:catAx>
      <c:valAx>
        <c:axId val="667210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721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DEPARTMENT</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Analysiss!$H$4:$H$5</c:f>
              <c:strCache>
                <c:ptCount val="1"/>
                <c:pt idx="0">
                  <c:v> ACTIVE </c:v>
                </c:pt>
              </c:strCache>
            </c:strRef>
          </c:tx>
          <c:spPr>
            <a:solidFill>
              <a:schemeClr val="accent1"/>
            </a:solidFill>
            <a:ln>
              <a:noFill/>
            </a:ln>
            <a:effectLst/>
          </c:spPr>
          <c:invertIfNegative val="0"/>
          <c:cat>
            <c:strRef>
              <c:f>Analysiss!$G$6:$G$12</c:f>
              <c:strCache>
                <c:ptCount val="6"/>
                <c:pt idx="0">
                  <c:v>Finance</c:v>
                </c:pt>
                <c:pt idx="1">
                  <c:v>Human Resources</c:v>
                </c:pt>
                <c:pt idx="2">
                  <c:v>Information Technology</c:v>
                </c:pt>
                <c:pt idx="3">
                  <c:v>Marketing</c:v>
                </c:pt>
                <c:pt idx="4">
                  <c:v>Operations</c:v>
                </c:pt>
                <c:pt idx="5">
                  <c:v>Sales</c:v>
                </c:pt>
              </c:strCache>
            </c:strRef>
          </c:cat>
          <c:val>
            <c:numRef>
              <c:f>Analysiss!$H$6:$H$12</c:f>
              <c:numCache>
                <c:formatCode>General</c:formatCode>
                <c:ptCount val="6"/>
                <c:pt idx="0">
                  <c:v>4</c:v>
                </c:pt>
                <c:pt idx="1">
                  <c:v>4</c:v>
                </c:pt>
                <c:pt idx="2">
                  <c:v>6</c:v>
                </c:pt>
                <c:pt idx="3">
                  <c:v>5</c:v>
                </c:pt>
                <c:pt idx="4">
                  <c:v>5</c:v>
                </c:pt>
                <c:pt idx="5">
                  <c:v>5</c:v>
                </c:pt>
              </c:numCache>
            </c:numRef>
          </c:val>
          <c:extLst>
            <c:ext xmlns:c16="http://schemas.microsoft.com/office/drawing/2014/chart" uri="{C3380CC4-5D6E-409C-BE32-E72D297353CC}">
              <c16:uniqueId val="{00000000-9013-4959-944B-C376C95ED050}"/>
            </c:ext>
          </c:extLst>
        </c:ser>
        <c:ser>
          <c:idx val="1"/>
          <c:order val="1"/>
          <c:tx>
            <c:strRef>
              <c:f>Analysiss!$I$4:$I$5</c:f>
              <c:strCache>
                <c:ptCount val="1"/>
                <c:pt idx="0">
                  <c:v> LEFT </c:v>
                </c:pt>
              </c:strCache>
            </c:strRef>
          </c:tx>
          <c:spPr>
            <a:solidFill>
              <a:schemeClr val="accent2"/>
            </a:solidFill>
            <a:ln>
              <a:noFill/>
            </a:ln>
            <a:effectLst/>
          </c:spPr>
          <c:invertIfNegative val="0"/>
          <c:cat>
            <c:strRef>
              <c:f>Analysiss!$G$6:$G$12</c:f>
              <c:strCache>
                <c:ptCount val="6"/>
                <c:pt idx="0">
                  <c:v>Finance</c:v>
                </c:pt>
                <c:pt idx="1">
                  <c:v>Human Resources</c:v>
                </c:pt>
                <c:pt idx="2">
                  <c:v>Information Technology</c:v>
                </c:pt>
                <c:pt idx="3">
                  <c:v>Marketing</c:v>
                </c:pt>
                <c:pt idx="4">
                  <c:v>Operations</c:v>
                </c:pt>
                <c:pt idx="5">
                  <c:v>Sales</c:v>
                </c:pt>
              </c:strCache>
            </c:strRef>
          </c:cat>
          <c:val>
            <c:numRef>
              <c:f>Analysiss!$I$6:$I$12</c:f>
              <c:numCache>
                <c:formatCode>General</c:formatCode>
                <c:ptCount val="6"/>
                <c:pt idx="0">
                  <c:v>2</c:v>
                </c:pt>
                <c:pt idx="1">
                  <c:v>2</c:v>
                </c:pt>
                <c:pt idx="2">
                  <c:v>2</c:v>
                </c:pt>
                <c:pt idx="4">
                  <c:v>2</c:v>
                </c:pt>
                <c:pt idx="5">
                  <c:v>3</c:v>
                </c:pt>
              </c:numCache>
            </c:numRef>
          </c:val>
          <c:extLst>
            <c:ext xmlns:c16="http://schemas.microsoft.com/office/drawing/2014/chart" uri="{C3380CC4-5D6E-409C-BE32-E72D297353CC}">
              <c16:uniqueId val="{00000000-0568-46A6-BA9D-304A35C6C911}"/>
            </c:ext>
          </c:extLst>
        </c:ser>
        <c:ser>
          <c:idx val="2"/>
          <c:order val="2"/>
          <c:tx>
            <c:strRef>
              <c:f>Analysiss!$J$4:$J$5</c:f>
              <c:strCache>
                <c:ptCount val="1"/>
                <c:pt idx="0">
                  <c:v>ACTIVE</c:v>
                </c:pt>
              </c:strCache>
            </c:strRef>
          </c:tx>
          <c:spPr>
            <a:solidFill>
              <a:schemeClr val="accent3"/>
            </a:solidFill>
            <a:ln>
              <a:noFill/>
            </a:ln>
            <a:effectLst/>
          </c:spPr>
          <c:invertIfNegative val="0"/>
          <c:cat>
            <c:strRef>
              <c:f>Analysiss!$G$6:$G$12</c:f>
              <c:strCache>
                <c:ptCount val="6"/>
                <c:pt idx="0">
                  <c:v>Finance</c:v>
                </c:pt>
                <c:pt idx="1">
                  <c:v>Human Resources</c:v>
                </c:pt>
                <c:pt idx="2">
                  <c:v>Information Technology</c:v>
                </c:pt>
                <c:pt idx="3">
                  <c:v>Marketing</c:v>
                </c:pt>
                <c:pt idx="4">
                  <c:v>Operations</c:v>
                </c:pt>
                <c:pt idx="5">
                  <c:v>Sales</c:v>
                </c:pt>
              </c:strCache>
            </c:strRef>
          </c:cat>
          <c:val>
            <c:numRef>
              <c:f>Analysiss!$J$6:$J$12</c:f>
              <c:numCache>
                <c:formatCode>General</c:formatCode>
                <c:ptCount val="6"/>
                <c:pt idx="0">
                  <c:v>10</c:v>
                </c:pt>
                <c:pt idx="1">
                  <c:v>11</c:v>
                </c:pt>
                <c:pt idx="2">
                  <c:v>22</c:v>
                </c:pt>
                <c:pt idx="3">
                  <c:v>11</c:v>
                </c:pt>
                <c:pt idx="4">
                  <c:v>13</c:v>
                </c:pt>
                <c:pt idx="5">
                  <c:v>20</c:v>
                </c:pt>
              </c:numCache>
            </c:numRef>
          </c:val>
          <c:extLst>
            <c:ext xmlns:c16="http://schemas.microsoft.com/office/drawing/2014/chart" uri="{C3380CC4-5D6E-409C-BE32-E72D297353CC}">
              <c16:uniqueId val="{00000006-0568-46A6-BA9D-304A35C6C911}"/>
            </c:ext>
          </c:extLst>
        </c:ser>
        <c:ser>
          <c:idx val="3"/>
          <c:order val="3"/>
          <c:tx>
            <c:strRef>
              <c:f>Analysiss!$K$4:$K$5</c:f>
              <c:strCache>
                <c:ptCount val="1"/>
                <c:pt idx="0">
                  <c:v>LEFT</c:v>
                </c:pt>
              </c:strCache>
            </c:strRef>
          </c:tx>
          <c:spPr>
            <a:solidFill>
              <a:schemeClr val="accent4"/>
            </a:solidFill>
            <a:ln>
              <a:noFill/>
            </a:ln>
            <a:effectLst/>
          </c:spPr>
          <c:invertIfNegative val="0"/>
          <c:cat>
            <c:strRef>
              <c:f>Analysiss!$G$6:$G$12</c:f>
              <c:strCache>
                <c:ptCount val="6"/>
                <c:pt idx="0">
                  <c:v>Finance</c:v>
                </c:pt>
                <c:pt idx="1">
                  <c:v>Human Resources</c:v>
                </c:pt>
                <c:pt idx="2">
                  <c:v>Information Technology</c:v>
                </c:pt>
                <c:pt idx="3">
                  <c:v>Marketing</c:v>
                </c:pt>
                <c:pt idx="4">
                  <c:v>Operations</c:v>
                </c:pt>
                <c:pt idx="5">
                  <c:v>Sales</c:v>
                </c:pt>
              </c:strCache>
            </c:strRef>
          </c:cat>
          <c:val>
            <c:numRef>
              <c:f>Analysiss!$K$6:$K$12</c:f>
              <c:numCache>
                <c:formatCode>General</c:formatCode>
                <c:ptCount val="6"/>
                <c:pt idx="0">
                  <c:v>1</c:v>
                </c:pt>
                <c:pt idx="2">
                  <c:v>4</c:v>
                </c:pt>
                <c:pt idx="3">
                  <c:v>3</c:v>
                </c:pt>
                <c:pt idx="4">
                  <c:v>4</c:v>
                </c:pt>
                <c:pt idx="5">
                  <c:v>1</c:v>
                </c:pt>
              </c:numCache>
            </c:numRef>
          </c:val>
          <c:extLst>
            <c:ext xmlns:c16="http://schemas.microsoft.com/office/drawing/2014/chart" uri="{C3380CC4-5D6E-409C-BE32-E72D297353CC}">
              <c16:uniqueId val="{00000007-0568-46A6-BA9D-304A35C6C911}"/>
            </c:ext>
          </c:extLst>
        </c:ser>
        <c:ser>
          <c:idx val="4"/>
          <c:order val="4"/>
          <c:tx>
            <c:strRef>
              <c:f>Analysiss!$L$4:$L$5</c:f>
              <c:strCache>
                <c:ptCount val="1"/>
                <c:pt idx="0">
                  <c:v>RESIGNED</c:v>
                </c:pt>
              </c:strCache>
            </c:strRef>
          </c:tx>
          <c:spPr>
            <a:solidFill>
              <a:schemeClr val="accent5"/>
            </a:solidFill>
            <a:ln>
              <a:noFill/>
            </a:ln>
            <a:effectLst/>
          </c:spPr>
          <c:invertIfNegative val="0"/>
          <c:cat>
            <c:strRef>
              <c:f>Analysiss!$G$6:$G$12</c:f>
              <c:strCache>
                <c:ptCount val="6"/>
                <c:pt idx="0">
                  <c:v>Finance</c:v>
                </c:pt>
                <c:pt idx="1">
                  <c:v>Human Resources</c:v>
                </c:pt>
                <c:pt idx="2">
                  <c:v>Information Technology</c:v>
                </c:pt>
                <c:pt idx="3">
                  <c:v>Marketing</c:v>
                </c:pt>
                <c:pt idx="4">
                  <c:v>Operations</c:v>
                </c:pt>
                <c:pt idx="5">
                  <c:v>Sales</c:v>
                </c:pt>
              </c:strCache>
            </c:strRef>
          </c:cat>
          <c:val>
            <c:numRef>
              <c:f>Analysiss!$L$6:$L$12</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08-0568-46A6-BA9D-304A35C6C911}"/>
            </c:ext>
          </c:extLst>
        </c:ser>
        <c:dLbls>
          <c:showLegendKey val="0"/>
          <c:showVal val="0"/>
          <c:showCatName val="0"/>
          <c:showSerName val="0"/>
          <c:showPercent val="0"/>
          <c:showBubbleSize val="0"/>
        </c:dLbls>
        <c:gapWidth val="150"/>
        <c:overlap val="100"/>
        <c:axId val="502396816"/>
        <c:axId val="502397536"/>
      </c:barChart>
      <c:catAx>
        <c:axId val="5023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97536"/>
        <c:crosses val="autoZero"/>
        <c:auto val="1"/>
        <c:lblAlgn val="ctr"/>
        <c:lblOffset val="100"/>
        <c:noMultiLvlLbl val="0"/>
      </c:catAx>
      <c:valAx>
        <c:axId val="5023975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23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Attrition Rate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4.4817927170868348E-2"/>
          <c:y val="0.37800488480606592"/>
          <c:w val="0.93837535014005602"/>
          <c:h val="0.53774387576552929"/>
        </c:manualLayout>
      </c:layout>
      <c:barChart>
        <c:barDir val="col"/>
        <c:grouping val="clustered"/>
        <c:varyColors val="0"/>
        <c:ser>
          <c:idx val="0"/>
          <c:order val="0"/>
          <c:tx>
            <c:strRef>
              <c:f>Analysiss!$B$15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C4B-4345-8C65-D3032239EF93}"/>
              </c:ext>
            </c:extLst>
          </c:dPt>
          <c:dPt>
            <c:idx val="1"/>
            <c:invertIfNegative val="0"/>
            <c:bubble3D val="0"/>
            <c:spPr>
              <a:solidFill>
                <a:schemeClr val="accent1"/>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solidFill>
              <a:ln w="19050">
                <a:solidFill>
                  <a:schemeClr val="lt1"/>
                </a:solidFill>
              </a:ln>
              <a:effectLst/>
            </c:spPr>
          </c:dPt>
          <c:dPt>
            <c:idx val="4"/>
            <c:invertIfNegative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Analysiss!$A$16:$A$21</c:f>
              <c:strCache>
                <c:ptCount val="5"/>
                <c:pt idx="0">
                  <c:v> ACTIVE </c:v>
                </c:pt>
                <c:pt idx="1">
                  <c:v> LEFT </c:v>
                </c:pt>
                <c:pt idx="2">
                  <c:v>ACTIVE</c:v>
                </c:pt>
                <c:pt idx="3">
                  <c:v>LEFT</c:v>
                </c:pt>
                <c:pt idx="4">
                  <c:v>RESIGNED</c:v>
                </c:pt>
              </c:strCache>
            </c:strRef>
          </c:cat>
          <c:val>
            <c:numRef>
              <c:f>Analysiss!$B$16:$B$21</c:f>
              <c:numCache>
                <c:formatCode>General</c:formatCode>
                <c:ptCount val="5"/>
                <c:pt idx="0">
                  <c:v>53.241379310344826</c:v>
                </c:pt>
                <c:pt idx="1">
                  <c:v>64.36363636363636</c:v>
                </c:pt>
                <c:pt idx="2">
                  <c:v>67.103448275862064</c:v>
                </c:pt>
                <c:pt idx="3">
                  <c:v>62.53846153846154</c:v>
                </c:pt>
                <c:pt idx="4">
                  <c:v>76.400000000000006</c:v>
                </c:pt>
              </c:numCache>
            </c:numRef>
          </c:val>
          <c:extLst>
            <c:ext xmlns:c16="http://schemas.microsoft.com/office/drawing/2014/chart" uri="{C3380CC4-5D6E-409C-BE32-E72D297353CC}">
              <c16:uniqueId val="{0000000A-EC4B-4345-8C65-D3032239EF93}"/>
            </c:ext>
          </c:extLst>
        </c:ser>
        <c:dLbls>
          <c:showLegendKey val="0"/>
          <c:showVal val="0"/>
          <c:showCatName val="0"/>
          <c:showSerName val="0"/>
          <c:showPercent val="0"/>
          <c:showBubbleSize val="0"/>
        </c:dLbls>
        <c:gapWidth val="100"/>
        <c:axId val="676902128"/>
        <c:axId val="676901048"/>
      </c:barChart>
      <c:valAx>
        <c:axId val="6769010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76902128"/>
        <c:crosses val="autoZero"/>
        <c:crossBetween val="between"/>
      </c:valAx>
      <c:catAx>
        <c:axId val="67690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9010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Bonus Payout by Performance Band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s>
    <c:plotArea>
      <c:layout/>
      <c:pieChart>
        <c:varyColors val="1"/>
        <c:ser>
          <c:idx val="0"/>
          <c:order val="0"/>
          <c:tx>
            <c:strRef>
              <c:f>Analysiss!$H$15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CC2-4CDC-B69C-A73779778FCE}"/>
              </c:ext>
            </c:extLst>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Analysiss!$G$16:$G$21</c:f>
              <c:strCache>
                <c:ptCount val="5"/>
                <c:pt idx="0">
                  <c:v>Achieving</c:v>
                </c:pt>
                <c:pt idx="1">
                  <c:v>Developing</c:v>
                </c:pt>
                <c:pt idx="2">
                  <c:v>Exceeding</c:v>
                </c:pt>
                <c:pt idx="3">
                  <c:v>Needs Improvement</c:v>
                </c:pt>
                <c:pt idx="4">
                  <c:v>Outstanding</c:v>
                </c:pt>
              </c:strCache>
            </c:strRef>
          </c:cat>
          <c:val>
            <c:numRef>
              <c:f>Analysiss!$H$16:$H$21</c:f>
              <c:numCache>
                <c:formatCode>General</c:formatCode>
                <c:ptCount val="5"/>
                <c:pt idx="0">
                  <c:v>144315.95000000001</c:v>
                </c:pt>
                <c:pt idx="1">
                  <c:v>58138.3</c:v>
                </c:pt>
                <c:pt idx="2">
                  <c:v>131312.80000000002</c:v>
                </c:pt>
                <c:pt idx="3">
                  <c:v>0</c:v>
                </c:pt>
                <c:pt idx="4">
                  <c:v>82379.040000000008</c:v>
                </c:pt>
              </c:numCache>
            </c:numRef>
          </c:val>
          <c:extLst>
            <c:ext xmlns:c16="http://schemas.microsoft.com/office/drawing/2014/chart" uri="{C3380CC4-5D6E-409C-BE32-E72D297353CC}">
              <c16:uniqueId val="{00000000-08CF-441F-AB76-18DD3ABE2AB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4</xdr:row>
      <xdr:rowOff>83820</xdr:rowOff>
    </xdr:from>
    <xdr:to>
      <xdr:col>7</xdr:col>
      <xdr:colOff>42415</xdr:colOff>
      <xdr:row>19</xdr:row>
      <xdr:rowOff>83820</xdr:rowOff>
    </xdr:to>
    <xdr:graphicFrame macro="">
      <xdr:nvGraphicFramePr>
        <xdr:cNvPr id="2" name="Chart 1">
          <a:extLst>
            <a:ext uri="{FF2B5EF4-FFF2-40B4-BE49-F238E27FC236}">
              <a16:creationId xmlns:a16="http://schemas.microsoft.com/office/drawing/2014/main" id="{96ED958D-E908-43F1-AFCE-EB52D8D78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274320</xdr:colOff>
      <xdr:row>4</xdr:row>
      <xdr:rowOff>83820</xdr:rowOff>
    </xdr:from>
    <xdr:to>
      <xdr:col>14</xdr:col>
      <xdr:colOff>118248</xdr:colOff>
      <xdr:row>19</xdr:row>
      <xdr:rowOff>83820</xdr:rowOff>
    </xdr:to>
    <xdr:graphicFrame macro="">
      <xdr:nvGraphicFramePr>
        <xdr:cNvPr id="3" name="Chart 2">
          <a:extLst>
            <a:ext uri="{FF2B5EF4-FFF2-40B4-BE49-F238E27FC236}">
              <a16:creationId xmlns:a16="http://schemas.microsoft.com/office/drawing/2014/main" id="{998734B9-608E-43E4-8B42-871859DE8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115677</xdr:colOff>
      <xdr:row>19</xdr:row>
      <xdr:rowOff>137160</xdr:rowOff>
    </xdr:from>
    <xdr:to>
      <xdr:col>7</xdr:col>
      <xdr:colOff>51412</xdr:colOff>
      <xdr:row>34</xdr:row>
      <xdr:rowOff>137160</xdr:rowOff>
    </xdr:to>
    <xdr:graphicFrame macro="">
      <xdr:nvGraphicFramePr>
        <xdr:cNvPr id="4" name="Chart 3">
          <a:extLst>
            <a:ext uri="{FF2B5EF4-FFF2-40B4-BE49-F238E27FC236}">
              <a16:creationId xmlns:a16="http://schemas.microsoft.com/office/drawing/2014/main" id="{EDEF1464-4F02-4CAD-917A-75FE85D07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289560</xdr:colOff>
      <xdr:row>19</xdr:row>
      <xdr:rowOff>137160</xdr:rowOff>
    </xdr:from>
    <xdr:to>
      <xdr:col>14</xdr:col>
      <xdr:colOff>133488</xdr:colOff>
      <xdr:row>34</xdr:row>
      <xdr:rowOff>137160</xdr:rowOff>
    </xdr:to>
    <xdr:graphicFrame macro="">
      <xdr:nvGraphicFramePr>
        <xdr:cNvPr id="5" name="Chart 4">
          <a:extLst>
            <a:ext uri="{FF2B5EF4-FFF2-40B4-BE49-F238E27FC236}">
              <a16:creationId xmlns:a16="http://schemas.microsoft.com/office/drawing/2014/main" id="{42AB0C68-C16A-4971-A949-3A63A3894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203369</xdr:colOff>
      <xdr:row>10</xdr:row>
      <xdr:rowOff>1</xdr:rowOff>
    </xdr:from>
    <xdr:to>
      <xdr:col>21</xdr:col>
      <xdr:colOff>125392</xdr:colOff>
      <xdr:row>14</xdr:row>
      <xdr:rowOff>174434</xdr:rowOff>
    </xdr:to>
    <mc:AlternateContent xmlns:mc="http://schemas.openxmlformats.org/markup-compatibility/2006">
      <mc:Choice xmlns:a14="http://schemas.microsoft.com/office/drawing/2010/main" Requires="a14">
        <xdr:graphicFrame macro="">
          <xdr:nvGraphicFramePr>
            <xdr:cNvPr id="10" name="Department Name">
              <a:extLst>
                <a:ext uri="{FF2B5EF4-FFF2-40B4-BE49-F238E27FC236}">
                  <a16:creationId xmlns:a16="http://schemas.microsoft.com/office/drawing/2014/main" id="{88B61874-8B22-4691-B64D-753CEE872A73}"/>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9578863" y="2449976"/>
              <a:ext cx="4175719" cy="907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179942</xdr:colOff>
      <xdr:row>15</xdr:row>
      <xdr:rowOff>23870</xdr:rowOff>
    </xdr:from>
    <xdr:to>
      <xdr:col>21</xdr:col>
      <xdr:colOff>115747</xdr:colOff>
      <xdr:row>21</xdr:row>
      <xdr:rowOff>82628</xdr:rowOff>
    </xdr:to>
    <mc:AlternateContent xmlns:mc="http://schemas.openxmlformats.org/markup-compatibility/2006">
      <mc:Choice xmlns:a14="http://schemas.microsoft.com/office/drawing/2010/main" Requires="a14">
        <xdr:graphicFrame macro="">
          <xdr:nvGraphicFramePr>
            <xdr:cNvPr id="11" name="Employment Status">
              <a:extLst>
                <a:ext uri="{FF2B5EF4-FFF2-40B4-BE49-F238E27FC236}">
                  <a16:creationId xmlns:a16="http://schemas.microsoft.com/office/drawing/2014/main" id="{E2053FE5-61E7-4D5E-989D-E9A127A8409E}"/>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9555436" y="3390174"/>
              <a:ext cx="4189501" cy="1158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145030</xdr:colOff>
      <xdr:row>3</xdr:row>
      <xdr:rowOff>221848</xdr:rowOff>
    </xdr:from>
    <xdr:to>
      <xdr:col>21</xdr:col>
      <xdr:colOff>135037</xdr:colOff>
      <xdr:row>9</xdr:row>
      <xdr:rowOff>66590</xdr:rowOff>
    </xdr:to>
    <mc:AlternateContent xmlns:mc="http://schemas.openxmlformats.org/markup-compatibility/2006">
      <mc:Choice xmlns:a14="http://schemas.microsoft.com/office/drawing/2010/main" Requires="a14">
        <xdr:graphicFrame macro="">
          <xdr:nvGraphicFramePr>
            <xdr:cNvPr id="12" name="Performance Band">
              <a:extLst>
                <a:ext uri="{FF2B5EF4-FFF2-40B4-BE49-F238E27FC236}">
                  <a16:creationId xmlns:a16="http://schemas.microsoft.com/office/drawing/2014/main" id="{97EC3DE1-D5FA-4915-9A3E-765AEAC9EC5B}"/>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9520524" y="1157468"/>
              <a:ext cx="4243703" cy="1175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7.703951388889" createdVersion="8" refreshedVersion="8" minRefreshableVersion="3" recordCount="150" xr:uid="{953E6876-6BA6-4AC4-880D-4A91C380E39C}">
  <cacheSource type="worksheet">
    <worksheetSource ref="A1:M151" sheet="Raw_Employee_Data"/>
  </cacheSource>
  <cacheFields count="13">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acheField>
    <cacheField name="Last_Name" numFmtId="0">
      <sharedItems/>
    </cacheField>
    <cacheField name="Full Name" numFmtId="0">
      <sharedItems/>
    </cacheField>
    <cacheField name="Dept Code" numFmtId="0">
      <sharedItems/>
    </cacheField>
    <cacheField name="Department Name" numFmtId="0">
      <sharedItems count="6">
        <s v="Information Technology"/>
        <s v="Marketing"/>
        <s v="Finance"/>
        <s v="Operations"/>
        <s v="Sales"/>
        <s v="Human Resources"/>
      </sharedItems>
    </cacheField>
    <cacheField name="Hire Date" numFmtId="14">
      <sharedItems containsSemiMixedTypes="0" containsNonDate="0" containsDate="1" containsString="0" minDate="2015-01-04T00:00:00" maxDate="2023-12-13T00:00:00"/>
    </cacheField>
    <cacheField name="Years of Service" numFmtId="0">
      <sharedItems count="10">
        <s v="8 Years"/>
        <s v="4 Years"/>
        <s v="10 Years"/>
        <s v="3 Years"/>
        <s v="6 Years"/>
        <s v="2 Years"/>
        <s v="5 Years"/>
        <s v="9 Years"/>
        <s v="7 Years"/>
        <s v="11 Years"/>
      </sharedItems>
    </cacheField>
    <cacheField name="Salary" numFmtId="164">
      <sharedItems containsSemiMixedTypes="0" containsString="0" containsNumber="1" containsInteger="1" minValue="0" maxValue="118947" count="131">
        <n v="50361"/>
        <n v="112673"/>
        <n v="114425"/>
        <n v="103831"/>
        <n v="73785"/>
        <n v="115882"/>
        <n v="59980"/>
        <n v="68728"/>
        <n v="102139"/>
        <n v="94998"/>
        <n v="118635"/>
        <n v="76918"/>
        <n v="61408"/>
        <n v="99990"/>
        <n v="80385"/>
        <n v="65290"/>
        <n v="105765"/>
        <n v="102921"/>
        <n v="73984"/>
        <n v="0"/>
        <n v="118527"/>
        <n v="107871"/>
        <n v="93956"/>
        <n v="100851"/>
        <n v="68655"/>
        <n v="81205"/>
        <n v="77610"/>
        <n v="50873"/>
        <n v="85312"/>
        <n v="97055"/>
        <n v="66069"/>
        <n v="90157"/>
        <n v="59899"/>
        <n v="113389"/>
        <n v="102691"/>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Perf_Score" numFmtId="0">
      <sharedItems containsSemiMixedTypes="0" containsString="0" containsNumber="1" containsInteger="1" minValue="0" maxValue="99"/>
    </cacheField>
    <cacheField name="Performance Band" numFmtId="0">
      <sharedItems count="5">
        <s v="Developing"/>
        <s v="Needs Improvement"/>
        <s v="Achieving"/>
        <s v="Exceeding"/>
        <s v="Outstanding"/>
      </sharedItems>
    </cacheField>
    <cacheField name="Eligible Bonus Amount" numFmtId="0">
      <sharedItems containsSemiMixedTypes="0" containsString="0" containsNumber="1" minValue="0" maxValue="14273.64"/>
    </cacheField>
    <cacheField name="Employment Status" numFmtId="0">
      <sharedItems count="5">
        <s v="ACTIVE"/>
        <s v=" ACTIVE "/>
        <s v=" LEFT "/>
        <s v="LEFT"/>
        <s v="RESIGNED"/>
      </sharedItems>
    </cacheField>
  </cacheFields>
  <extLst>
    <ext xmlns:x14="http://schemas.microsoft.com/office/spreadsheetml/2009/9/main" uri="{725AE2AE-9491-48be-B2B4-4EB974FC3084}">
      <x14:pivotCacheDefinition pivotCacheId="1127024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Emily Brown"/>
    <s v="IT02"/>
    <x v="0"/>
    <d v="2017-12-24T00:00:00"/>
    <x v="0"/>
    <x v="0"/>
    <n v="52"/>
    <x v="0"/>
    <n v="1007.22"/>
    <x v="0"/>
  </r>
  <r>
    <x v="1"/>
    <s v="Richard"/>
    <s v="Hernandez"/>
    <s v="Richard Hernandez"/>
    <s v="MKT04"/>
    <x v="1"/>
    <d v="2022-04-08T00:00:00"/>
    <x v="1"/>
    <x v="1"/>
    <n v="0"/>
    <x v="1"/>
    <n v="0"/>
    <x v="1"/>
  </r>
  <r>
    <x v="2"/>
    <s v="Emily"/>
    <s v="Gonzalez"/>
    <s v="Emily Gonzalez"/>
    <s v="IT02"/>
    <x v="0"/>
    <d v="2016-03-02T00:00:00"/>
    <x v="2"/>
    <x v="2"/>
    <n v="54"/>
    <x v="0"/>
    <n v="2288.5"/>
    <x v="2"/>
  </r>
  <r>
    <x v="3"/>
    <s v="John"/>
    <s v="Martinez"/>
    <s v="John Martinez"/>
    <s v="FIN03"/>
    <x v="2"/>
    <d v="2023-07-03T00:00:00"/>
    <x v="3"/>
    <x v="3"/>
    <n v="70"/>
    <x v="2"/>
    <n v="5191.55"/>
    <x v="0"/>
  </r>
  <r>
    <x v="4"/>
    <s v="Thomas"/>
    <s v="Smith"/>
    <s v="Thomas Smith"/>
    <s v="IT02"/>
    <x v="0"/>
    <d v="2023-02-20T00:00:00"/>
    <x v="3"/>
    <x v="4"/>
    <n v="40"/>
    <x v="1"/>
    <n v="0"/>
    <x v="3"/>
  </r>
  <r>
    <x v="5"/>
    <s v="Emily"/>
    <s v="Johnson"/>
    <s v="Emily Johnson"/>
    <s v="OPS06"/>
    <x v="3"/>
    <d v="2020-03-02T00:00:00"/>
    <x v="4"/>
    <x v="5"/>
    <n v="49"/>
    <x v="1"/>
    <n v="0"/>
    <x v="1"/>
  </r>
  <r>
    <x v="6"/>
    <s v="John"/>
    <s v="Wilson"/>
    <s v="John Wilson"/>
    <s v="OPS06"/>
    <x v="3"/>
    <d v="2023-12-12T00:00:00"/>
    <x v="5"/>
    <x v="6"/>
    <n v="70"/>
    <x v="2"/>
    <n v="2999"/>
    <x v="3"/>
  </r>
  <r>
    <x v="7"/>
    <s v="Jessica"/>
    <s v="Smith"/>
    <s v="Jessica Smith"/>
    <s v="OPS06"/>
    <x v="3"/>
    <d v="2020-12-09T00:00:00"/>
    <x v="6"/>
    <x v="7"/>
    <n v="45"/>
    <x v="1"/>
    <n v="0"/>
    <x v="1"/>
  </r>
  <r>
    <x v="8"/>
    <s v="Unknown"/>
    <s v="Rodriguez"/>
    <s v="Unknown Rodriguez"/>
    <s v="FIN03"/>
    <x v="2"/>
    <d v="2018-01-07T00:00:00"/>
    <x v="0"/>
    <x v="8"/>
    <n v="79"/>
    <x v="2"/>
    <n v="5106.9500000000007"/>
    <x v="0"/>
  </r>
  <r>
    <x v="9"/>
    <s v="Michael"/>
    <s v="Martinez"/>
    <s v="Michael Martinez"/>
    <s v="SAL05"/>
    <x v="4"/>
    <d v="2016-11-02T00:00:00"/>
    <x v="7"/>
    <x v="9"/>
    <n v="58"/>
    <x v="0"/>
    <n v="1899.96"/>
    <x v="0"/>
  </r>
  <r>
    <x v="10"/>
    <s v="Emily"/>
    <s v="Miller"/>
    <s v="Emily Miller"/>
    <s v="SAL05"/>
    <x v="4"/>
    <d v="2020-03-21T00:00:00"/>
    <x v="4"/>
    <x v="10"/>
    <n v="49"/>
    <x v="1"/>
    <n v="0"/>
    <x v="0"/>
  </r>
  <r>
    <x v="11"/>
    <s v="Emily"/>
    <s v="Hernandez"/>
    <s v="Emily Hernandez"/>
    <s v="IT02"/>
    <x v="0"/>
    <d v="2016-02-25T00:00:00"/>
    <x v="2"/>
    <x v="11"/>
    <n v="62"/>
    <x v="0"/>
    <n v="1538.3600000000001"/>
    <x v="0"/>
  </r>
  <r>
    <x v="12"/>
    <s v="Jane"/>
    <s v="Williams"/>
    <s v="Jane Williams"/>
    <s v="MKT04"/>
    <x v="1"/>
    <d v="2021-06-17T00:00:00"/>
    <x v="6"/>
    <x v="12"/>
    <n v="48"/>
    <x v="1"/>
    <n v="0"/>
    <x v="1"/>
  </r>
  <r>
    <x v="13"/>
    <s v="Jane"/>
    <s v="Miller"/>
    <s v="Jane Miller"/>
    <s v="MKT04"/>
    <x v="1"/>
    <d v="2020-06-19T00:00:00"/>
    <x v="4"/>
    <x v="13"/>
    <n v="54"/>
    <x v="0"/>
    <n v="1999.8"/>
    <x v="0"/>
  </r>
  <r>
    <x v="14"/>
    <s v="Robert"/>
    <s v="Jones"/>
    <s v="Robert Jones"/>
    <s v="MKT04"/>
    <x v="1"/>
    <d v="2019-12-21T00:00:00"/>
    <x v="4"/>
    <x v="14"/>
    <n v="0"/>
    <x v="1"/>
    <n v="0"/>
    <x v="0"/>
  </r>
  <r>
    <x v="15"/>
    <s v="Thomas"/>
    <s v="Rodriguez"/>
    <s v="Thomas Rodriguez"/>
    <s v="SAL05"/>
    <x v="4"/>
    <d v="2023-08-31T00:00:00"/>
    <x v="5"/>
    <x v="15"/>
    <n v="77"/>
    <x v="2"/>
    <n v="3264.5"/>
    <x v="0"/>
  </r>
  <r>
    <x v="16"/>
    <s v="Emily"/>
    <s v="Davis"/>
    <s v="Emily Davis"/>
    <s v="IT02"/>
    <x v="0"/>
    <d v="2015-11-29T00:00:00"/>
    <x v="2"/>
    <x v="16"/>
    <n v="42"/>
    <x v="1"/>
    <n v="0"/>
    <x v="0"/>
  </r>
  <r>
    <x v="17"/>
    <s v="James"/>
    <s v="Martinez"/>
    <s v="James Martinez"/>
    <s v="SAL05"/>
    <x v="4"/>
    <d v="2017-06-13T00:00:00"/>
    <x v="7"/>
    <x v="17"/>
    <n v="49"/>
    <x v="1"/>
    <n v="0"/>
    <x v="1"/>
  </r>
  <r>
    <x v="18"/>
    <s v="Ashley"/>
    <s v="Lopez"/>
    <s v="Ashley Lopez"/>
    <s v="MKT04"/>
    <x v="1"/>
    <d v="2018-05-15T00:00:00"/>
    <x v="0"/>
    <x v="18"/>
    <n v="93"/>
    <x v="3"/>
    <n v="5918.72"/>
    <x v="0"/>
  </r>
  <r>
    <x v="19"/>
    <s v="Amanda"/>
    <s v="Gonzalez"/>
    <s v="Amanda Gonzalez"/>
    <s v="IT02"/>
    <x v="0"/>
    <d v="2016-07-24T00:00:00"/>
    <x v="7"/>
    <x v="19"/>
    <n v="75"/>
    <x v="2"/>
    <n v="0"/>
    <x v="0"/>
  </r>
  <r>
    <x v="20"/>
    <s v="Michael"/>
    <s v="Hernandez"/>
    <s v="Michael Hernandez"/>
    <s v="FIN03"/>
    <x v="2"/>
    <d v="2017-12-07T00:00:00"/>
    <x v="0"/>
    <x v="20"/>
    <n v="50"/>
    <x v="0"/>
    <n v="2370.54"/>
    <x v="0"/>
  </r>
  <r>
    <x v="21"/>
    <s v="Richard"/>
    <s v="Hernandez"/>
    <s v="Richard Hernandez"/>
    <s v="MKT04"/>
    <x v="1"/>
    <d v="2021-06-06T00:00:00"/>
    <x v="6"/>
    <x v="21"/>
    <n v="88"/>
    <x v="3"/>
    <n v="8629.68"/>
    <x v="0"/>
  </r>
  <r>
    <x v="22"/>
    <s v="Michael"/>
    <s v="Rodriguez"/>
    <s v="Michael Rodriguez"/>
    <s v="IT02"/>
    <x v="0"/>
    <d v="2022-09-11T00:00:00"/>
    <x v="3"/>
    <x v="22"/>
    <n v="50"/>
    <x v="0"/>
    <n v="1879.1200000000001"/>
    <x v="2"/>
  </r>
  <r>
    <x v="23"/>
    <s v="Jessica"/>
    <s v="Johnson"/>
    <s v="Jessica Johnson"/>
    <s v="FIN03"/>
    <x v="2"/>
    <d v="2016-07-14T00:00:00"/>
    <x v="7"/>
    <x v="23"/>
    <n v="64"/>
    <x v="0"/>
    <n v="2017.02"/>
    <x v="1"/>
  </r>
  <r>
    <x v="24"/>
    <s v="Ashley"/>
    <s v="Williams"/>
    <s v="Ashley Williams"/>
    <s v="SAL05"/>
    <x v="4"/>
    <d v="2022-06-16T00:00:00"/>
    <x v="1"/>
    <x v="24"/>
    <n v="32"/>
    <x v="1"/>
    <n v="0"/>
    <x v="0"/>
  </r>
  <r>
    <x v="25"/>
    <s v="Unknown"/>
    <s v="Williams"/>
    <s v="Unknown Williams"/>
    <s v="SAL05"/>
    <x v="4"/>
    <d v="2023-07-27T00:00:00"/>
    <x v="5"/>
    <x v="25"/>
    <n v="59"/>
    <x v="0"/>
    <n v="1624.1000000000001"/>
    <x v="0"/>
  </r>
  <r>
    <x v="26"/>
    <s v="John"/>
    <s v="Wilson"/>
    <s v="John Wilson"/>
    <s v="SAL05"/>
    <x v="4"/>
    <d v="2019-09-24T00:00:00"/>
    <x v="4"/>
    <x v="26"/>
    <n v="88"/>
    <x v="3"/>
    <n v="6208.8"/>
    <x v="0"/>
  </r>
  <r>
    <x v="27"/>
    <s v="Thomas"/>
    <s v="Rodriguez"/>
    <s v="Thomas Rodriguez"/>
    <s v="IT02"/>
    <x v="0"/>
    <d v="2022-07-23T00:00:00"/>
    <x v="3"/>
    <x v="27"/>
    <n v="90"/>
    <x v="3"/>
    <n v="4069.84"/>
    <x v="0"/>
  </r>
  <r>
    <x v="28"/>
    <s v="Michael"/>
    <s v="Wilson"/>
    <s v="Michael Wilson"/>
    <s v="FIN03"/>
    <x v="2"/>
    <d v="2018-05-13T00:00:00"/>
    <x v="0"/>
    <x v="28"/>
    <n v="66"/>
    <x v="0"/>
    <n v="1706.24"/>
    <x v="0"/>
  </r>
  <r>
    <x v="29"/>
    <s v="John"/>
    <s v="Rodriguez"/>
    <s v="John Rodriguez"/>
    <s v="SAL05"/>
    <x v="4"/>
    <d v="2015-07-17T00:00:00"/>
    <x v="2"/>
    <x v="19"/>
    <n v="68"/>
    <x v="0"/>
    <n v="0"/>
    <x v="0"/>
  </r>
  <r>
    <x v="30"/>
    <s v="Thomas"/>
    <s v="Hernandez"/>
    <s v="Thomas Hernandez"/>
    <s v="OPS06"/>
    <x v="3"/>
    <d v="2015-08-05T00:00:00"/>
    <x v="2"/>
    <x v="29"/>
    <n v="80"/>
    <x v="2"/>
    <n v="4852.75"/>
    <x v="0"/>
  </r>
  <r>
    <x v="31"/>
    <s v="Michael"/>
    <s v="Johnson"/>
    <s v="Michael Johnson"/>
    <s v="IT02"/>
    <x v="0"/>
    <d v="2023-09-26T00:00:00"/>
    <x v="5"/>
    <x v="30"/>
    <n v="72"/>
    <x v="2"/>
    <n v="3303.4500000000003"/>
    <x v="0"/>
  </r>
  <r>
    <x v="32"/>
    <s v="Sarah"/>
    <s v="Brown"/>
    <s v="Sarah Brown"/>
    <s v="IT02"/>
    <x v="0"/>
    <d v="2019-06-10T00:00:00"/>
    <x v="8"/>
    <x v="31"/>
    <n v="58"/>
    <x v="0"/>
    <n v="1803.14"/>
    <x v="0"/>
  </r>
  <r>
    <x v="33"/>
    <s v="Jane"/>
    <s v="Martinez"/>
    <s v="Jane Martinez"/>
    <s v="HR01"/>
    <x v="5"/>
    <d v="2022-01-17T00:00:00"/>
    <x v="1"/>
    <x v="32"/>
    <n v="78"/>
    <x v="2"/>
    <n v="2994.9500000000003"/>
    <x v="0"/>
  </r>
  <r>
    <x v="34"/>
    <s v="Emily"/>
    <s v="Jones"/>
    <s v="Emily Jones"/>
    <s v="FIN03"/>
    <x v="2"/>
    <d v="2017-07-03T00:00:00"/>
    <x v="7"/>
    <x v="33"/>
    <n v="30"/>
    <x v="1"/>
    <n v="0"/>
    <x v="1"/>
  </r>
  <r>
    <x v="35"/>
    <s v="Unknown"/>
    <s v="Brown"/>
    <s v="Unknown Brown"/>
    <s v="IT02"/>
    <x v="0"/>
    <d v="2015-09-01T00:00:00"/>
    <x v="2"/>
    <x v="34"/>
    <n v="52"/>
    <x v="0"/>
    <n v="2053.8200000000002"/>
    <x v="0"/>
  </r>
  <r>
    <x v="36"/>
    <s v="John"/>
    <s v="Wilson"/>
    <s v="John Wilson"/>
    <s v="OPS06"/>
    <x v="3"/>
    <d v="2022-08-03T00:00:00"/>
    <x v="3"/>
    <x v="35"/>
    <n v="98"/>
    <x v="4"/>
    <n v="13421.4"/>
    <x v="0"/>
  </r>
  <r>
    <x v="37"/>
    <s v="Melissa"/>
    <s v="Brown"/>
    <s v="Melissa Brown"/>
    <s v="SAL05"/>
    <x v="4"/>
    <d v="2022-06-29T00:00:00"/>
    <x v="1"/>
    <x v="36"/>
    <n v="93"/>
    <x v="3"/>
    <n v="5537.52"/>
    <x v="0"/>
  </r>
  <r>
    <x v="38"/>
    <s v="Michael"/>
    <s v="Smith"/>
    <s v="Michael Smith"/>
    <s v="FIN03"/>
    <x v="2"/>
    <d v="2020-04-28T00:00:00"/>
    <x v="4"/>
    <x v="19"/>
    <n v="80"/>
    <x v="2"/>
    <n v="0"/>
    <x v="3"/>
  </r>
  <r>
    <x v="39"/>
    <s v="Sarah"/>
    <s v="Miller"/>
    <s v="Sarah Miller"/>
    <s v="OPS06"/>
    <x v="3"/>
    <d v="2017-09-09T00:00:00"/>
    <x v="0"/>
    <x v="37"/>
    <n v="0"/>
    <x v="1"/>
    <n v="0"/>
    <x v="0"/>
  </r>
  <r>
    <x v="40"/>
    <s v="Emily"/>
    <s v="Wilson"/>
    <s v="Emily Wilson"/>
    <s v="SAL05"/>
    <x v="4"/>
    <d v="2018-03-22T00:00:00"/>
    <x v="0"/>
    <x v="38"/>
    <n v="71"/>
    <x v="2"/>
    <n v="4312.25"/>
    <x v="2"/>
  </r>
  <r>
    <x v="41"/>
    <s v="David"/>
    <s v="Hernandez"/>
    <s v="David Hernandez"/>
    <s v="SAL05"/>
    <x v="4"/>
    <d v="2020-05-07T00:00:00"/>
    <x v="4"/>
    <x v="39"/>
    <n v="55"/>
    <x v="0"/>
    <n v="1048.1400000000001"/>
    <x v="0"/>
  </r>
  <r>
    <x v="42"/>
    <s v="James"/>
    <s v="Smith"/>
    <s v="James Smith"/>
    <s v="OPS06"/>
    <x v="3"/>
    <d v="2019-03-25T00:00:00"/>
    <x v="8"/>
    <x v="40"/>
    <n v="93"/>
    <x v="3"/>
    <n v="5328.4800000000005"/>
    <x v="4"/>
  </r>
  <r>
    <x v="43"/>
    <s v="Sarah"/>
    <s v="Williams"/>
    <s v="Sarah Williams"/>
    <s v="IT02"/>
    <x v="0"/>
    <d v="2019-08-09T00:00:00"/>
    <x v="4"/>
    <x v="41"/>
    <n v="79"/>
    <x v="2"/>
    <n v="4094.8"/>
    <x v="4"/>
  </r>
  <r>
    <x v="44"/>
    <s v="Amanda"/>
    <s v="Lopez"/>
    <s v="Amanda Lopez"/>
    <s v="SAL05"/>
    <x v="4"/>
    <d v="2016-07-14T00:00:00"/>
    <x v="7"/>
    <x v="42"/>
    <n v="54"/>
    <x v="0"/>
    <n v="1568.04"/>
    <x v="1"/>
  </r>
  <r>
    <x v="45"/>
    <s v="Thomas"/>
    <s v="Lopez"/>
    <s v="Thomas Lopez"/>
    <s v="OPS06"/>
    <x v="3"/>
    <d v="2016-10-04T00:00:00"/>
    <x v="7"/>
    <x v="43"/>
    <n v="76"/>
    <x v="2"/>
    <n v="5274.9000000000005"/>
    <x v="0"/>
  </r>
  <r>
    <x v="46"/>
    <s v="Melissa"/>
    <s v="Johnson"/>
    <s v="Melissa Johnson"/>
    <s v="MKT04"/>
    <x v="1"/>
    <d v="2019-07-10T00:00:00"/>
    <x v="4"/>
    <x v="44"/>
    <n v="72"/>
    <x v="2"/>
    <n v="4587.45"/>
    <x v="3"/>
  </r>
  <r>
    <x v="47"/>
    <s v="Amanda"/>
    <s v="Johnson"/>
    <s v="Amanda Johnson"/>
    <s v="OPS06"/>
    <x v="3"/>
    <d v="2021-08-29T00:00:00"/>
    <x v="1"/>
    <x v="45"/>
    <n v="84"/>
    <x v="2"/>
    <n v="4996.75"/>
    <x v="4"/>
  </r>
  <r>
    <x v="48"/>
    <s v="John"/>
    <s v="Davis"/>
    <s v="John Davis"/>
    <s v="IT02"/>
    <x v="0"/>
    <d v="2017-01-26T00:00:00"/>
    <x v="7"/>
    <x v="46"/>
    <n v="30"/>
    <x v="1"/>
    <n v="0"/>
    <x v="3"/>
  </r>
  <r>
    <x v="49"/>
    <s v="James"/>
    <s v="Johnson"/>
    <s v="James Johnson"/>
    <s v="MKT04"/>
    <x v="1"/>
    <d v="2020-05-30T00:00:00"/>
    <x v="4"/>
    <x v="47"/>
    <n v="0"/>
    <x v="1"/>
    <n v="0"/>
    <x v="1"/>
  </r>
  <r>
    <x v="50"/>
    <s v="Jane"/>
    <s v="Davis"/>
    <s v="Jane Davis"/>
    <s v="HR01"/>
    <x v="5"/>
    <d v="2022-02-20T00:00:00"/>
    <x v="1"/>
    <x v="48"/>
    <n v="53"/>
    <x v="0"/>
    <n v="1865.8"/>
    <x v="1"/>
  </r>
  <r>
    <x v="51"/>
    <s v="Richard"/>
    <s v="Davis"/>
    <s v="Richard Davis"/>
    <s v="OPS06"/>
    <x v="3"/>
    <d v="2016-09-15T00:00:00"/>
    <x v="7"/>
    <x v="49"/>
    <n v="63"/>
    <x v="0"/>
    <n v="2310.54"/>
    <x v="4"/>
  </r>
  <r>
    <x v="52"/>
    <s v="Thomas"/>
    <s v="Rodriguez"/>
    <s v="Thomas Rodriguez"/>
    <s v="FIN03"/>
    <x v="2"/>
    <d v="2019-10-07T00:00:00"/>
    <x v="4"/>
    <x v="50"/>
    <n v="84"/>
    <x v="2"/>
    <n v="2796"/>
    <x v="0"/>
  </r>
  <r>
    <x v="53"/>
    <s v="Emily"/>
    <s v="Johnson"/>
    <s v="Emily Johnson"/>
    <s v="SAL05"/>
    <x v="4"/>
    <d v="2018-12-30T00:00:00"/>
    <x v="8"/>
    <x v="51"/>
    <n v="30"/>
    <x v="1"/>
    <n v="0"/>
    <x v="0"/>
  </r>
  <r>
    <x v="54"/>
    <s v="Emily"/>
    <s v="Garcia"/>
    <s v="Emily Garcia"/>
    <s v="HR01"/>
    <x v="5"/>
    <d v="2020-12-24T00:00:00"/>
    <x v="6"/>
    <x v="52"/>
    <n v="96"/>
    <x v="4"/>
    <n v="14273.64"/>
    <x v="0"/>
  </r>
  <r>
    <x v="55"/>
    <s v="Jane"/>
    <s v="Anderson"/>
    <s v="Jane Anderson"/>
    <s v="IT02"/>
    <x v="0"/>
    <d v="2023-07-05T00:00:00"/>
    <x v="5"/>
    <x v="19"/>
    <n v="54"/>
    <x v="0"/>
    <n v="0"/>
    <x v="0"/>
  </r>
  <r>
    <x v="56"/>
    <s v="Thomas"/>
    <s v="Garcia"/>
    <s v="Thomas Garcia"/>
    <s v="OPS06"/>
    <x v="3"/>
    <d v="2020-11-13T00:00:00"/>
    <x v="6"/>
    <x v="19"/>
    <n v="75"/>
    <x v="2"/>
    <n v="0"/>
    <x v="0"/>
  </r>
  <r>
    <x v="57"/>
    <s v="David"/>
    <s v="Martinez"/>
    <s v="David Martinez"/>
    <s v="HR01"/>
    <x v="5"/>
    <d v="2018-02-07T00:00:00"/>
    <x v="0"/>
    <x v="53"/>
    <n v="95"/>
    <x v="4"/>
    <n v="10998.6"/>
    <x v="0"/>
  </r>
  <r>
    <x v="58"/>
    <s v="Emily"/>
    <s v="Brown"/>
    <s v="Emily Brown"/>
    <s v="IT02"/>
    <x v="0"/>
    <d v="2023-11-25T00:00:00"/>
    <x v="5"/>
    <x v="54"/>
    <n v="0"/>
    <x v="1"/>
    <n v="0"/>
    <x v="3"/>
  </r>
  <r>
    <x v="59"/>
    <s v="Emily"/>
    <s v="Wilson"/>
    <s v="Emily Wilson"/>
    <s v="SAL05"/>
    <x v="4"/>
    <d v="2023-10-18T00:00:00"/>
    <x v="5"/>
    <x v="55"/>
    <n v="93"/>
    <x v="3"/>
    <n v="8830.48"/>
    <x v="0"/>
  </r>
  <r>
    <x v="60"/>
    <s v="Michael"/>
    <s v="Anderson"/>
    <s v="Michael Anderson"/>
    <s v="HR01"/>
    <x v="5"/>
    <d v="2020-09-05T00:00:00"/>
    <x v="6"/>
    <x v="56"/>
    <n v="33"/>
    <x v="1"/>
    <n v="0"/>
    <x v="0"/>
  </r>
  <r>
    <x v="61"/>
    <s v="Robert"/>
    <s v="Johnson"/>
    <s v="Robert Johnson"/>
    <s v="OPS06"/>
    <x v="3"/>
    <d v="2017-03-06T00:00:00"/>
    <x v="7"/>
    <x v="57"/>
    <n v="91"/>
    <x v="3"/>
    <n v="5064.16"/>
    <x v="0"/>
  </r>
  <r>
    <x v="62"/>
    <s v="Robert"/>
    <s v="Miller"/>
    <s v="Robert Miller"/>
    <s v="IT02"/>
    <x v="0"/>
    <d v="2015-04-28T00:00:00"/>
    <x v="9"/>
    <x v="58"/>
    <n v="64"/>
    <x v="0"/>
    <n v="1510.38"/>
    <x v="0"/>
  </r>
  <r>
    <x v="63"/>
    <s v="Jane"/>
    <s v="Davis"/>
    <s v="Jane Davis"/>
    <s v="FIN03"/>
    <x v="2"/>
    <d v="2017-04-13T00:00:00"/>
    <x v="7"/>
    <x v="59"/>
    <n v="80"/>
    <x v="2"/>
    <n v="5194.55"/>
    <x v="0"/>
  </r>
  <r>
    <x v="64"/>
    <s v="Thomas"/>
    <s v="Davis"/>
    <s v="Thomas Davis"/>
    <s v="OPS06"/>
    <x v="3"/>
    <d v="2022-09-23T00:00:00"/>
    <x v="3"/>
    <x v="19"/>
    <n v="46"/>
    <x v="1"/>
    <n v="0"/>
    <x v="2"/>
  </r>
  <r>
    <x v="65"/>
    <s v="Thomas"/>
    <s v="Jones"/>
    <s v="Thomas Jones"/>
    <s v="MKT04"/>
    <x v="1"/>
    <d v="2016-11-11T00:00:00"/>
    <x v="7"/>
    <x v="60"/>
    <n v="99"/>
    <x v="4"/>
    <n v="6112.32"/>
    <x v="0"/>
  </r>
  <r>
    <x v="66"/>
    <s v="Michael"/>
    <s v="Miller"/>
    <s v="Michael Miller"/>
    <s v="SAL05"/>
    <x v="4"/>
    <d v="2017-03-24T00:00:00"/>
    <x v="7"/>
    <x v="61"/>
    <n v="0"/>
    <x v="1"/>
    <n v="0"/>
    <x v="0"/>
  </r>
  <r>
    <x v="67"/>
    <s v="Richard"/>
    <s v="Gonzalez"/>
    <s v="Richard Gonzalez"/>
    <s v="HR01"/>
    <x v="5"/>
    <d v="2019-05-05T00:00:00"/>
    <x v="8"/>
    <x v="62"/>
    <n v="87"/>
    <x v="3"/>
    <n v="4125.3599999999997"/>
    <x v="4"/>
  </r>
  <r>
    <x v="68"/>
    <s v="Melissa"/>
    <s v="Williams"/>
    <s v="Melissa Williams"/>
    <s v="HR01"/>
    <x v="5"/>
    <d v="2021-07-25T00:00:00"/>
    <x v="1"/>
    <x v="19"/>
    <n v="36"/>
    <x v="1"/>
    <n v="0"/>
    <x v="0"/>
  </r>
  <r>
    <x v="69"/>
    <s v="Robert"/>
    <s v="Miller"/>
    <s v="Robert Miller"/>
    <s v="HR01"/>
    <x v="5"/>
    <d v="2017-09-30T00:00:00"/>
    <x v="0"/>
    <x v="63"/>
    <n v="87"/>
    <x v="3"/>
    <n v="4421.6000000000004"/>
    <x v="0"/>
  </r>
  <r>
    <x v="70"/>
    <s v="William"/>
    <s v="Garcia"/>
    <s v="William Garcia"/>
    <s v="SAL05"/>
    <x v="4"/>
    <d v="2015-07-07T00:00:00"/>
    <x v="2"/>
    <x v="64"/>
    <n v="97"/>
    <x v="4"/>
    <n v="7828.2"/>
    <x v="1"/>
  </r>
  <r>
    <x v="71"/>
    <s v="John"/>
    <s v="Gonzalez"/>
    <s v="John Gonzalez"/>
    <s v="SAL05"/>
    <x v="4"/>
    <d v="2018-07-02T00:00:00"/>
    <x v="0"/>
    <x v="19"/>
    <n v="72"/>
    <x v="2"/>
    <n v="0"/>
    <x v="2"/>
  </r>
  <r>
    <x v="72"/>
    <s v="James"/>
    <s v="Gonzalez"/>
    <s v="James Gonzalez"/>
    <s v="SAL05"/>
    <x v="4"/>
    <d v="2022-09-15T00:00:00"/>
    <x v="3"/>
    <x v="19"/>
    <n v="65"/>
    <x v="0"/>
    <n v="0"/>
    <x v="2"/>
  </r>
  <r>
    <x v="73"/>
    <s v="Jane"/>
    <s v="Gonzalez"/>
    <s v="Jane Gonzalez"/>
    <s v="SAL05"/>
    <x v="4"/>
    <d v="2015-09-02T00:00:00"/>
    <x v="2"/>
    <x v="19"/>
    <n v="67"/>
    <x v="0"/>
    <n v="0"/>
    <x v="0"/>
  </r>
  <r>
    <x v="74"/>
    <s v="David"/>
    <s v="Wilson"/>
    <s v="David Wilson"/>
    <s v="OPS06"/>
    <x v="3"/>
    <d v="2016-10-11T00:00:00"/>
    <x v="7"/>
    <x v="65"/>
    <n v="34"/>
    <x v="1"/>
    <n v="0"/>
    <x v="1"/>
  </r>
  <r>
    <x v="75"/>
    <s v="Jane"/>
    <s v="Gonzalez"/>
    <s v="Jane Gonzalez"/>
    <s v="FIN03"/>
    <x v="2"/>
    <d v="2019-04-20T00:00:00"/>
    <x v="8"/>
    <x v="66"/>
    <n v="78"/>
    <x v="2"/>
    <n v="2259.8000000000002"/>
    <x v="2"/>
  </r>
  <r>
    <x v="76"/>
    <s v="Jane"/>
    <s v="Rodriguez"/>
    <s v="Jane Rodriguez"/>
    <s v="IT02"/>
    <x v="0"/>
    <d v="2017-02-19T00:00:00"/>
    <x v="7"/>
    <x v="67"/>
    <n v="61"/>
    <x v="0"/>
    <n v="1724.92"/>
    <x v="0"/>
  </r>
  <r>
    <x v="77"/>
    <s v="Emily"/>
    <s v="Miller"/>
    <s v="Emily Miller"/>
    <s v="SAL05"/>
    <x v="4"/>
    <d v="2021-09-07T00:00:00"/>
    <x v="1"/>
    <x v="68"/>
    <n v="74"/>
    <x v="2"/>
    <n v="3517.9500000000003"/>
    <x v="3"/>
  </r>
  <r>
    <x v="78"/>
    <s v="Sarah"/>
    <s v="Miller"/>
    <s v="Sarah Miller"/>
    <s v="MKT04"/>
    <x v="1"/>
    <d v="2019-05-14T00:00:00"/>
    <x v="8"/>
    <x v="19"/>
    <n v="94"/>
    <x v="3"/>
    <n v="0"/>
    <x v="1"/>
  </r>
  <r>
    <x v="79"/>
    <s v="Jessica"/>
    <s v="Garcia"/>
    <s v="Jessica Garcia"/>
    <s v="OPS06"/>
    <x v="3"/>
    <d v="2015-11-22T00:00:00"/>
    <x v="2"/>
    <x v="69"/>
    <n v="0"/>
    <x v="1"/>
    <n v="0"/>
    <x v="1"/>
  </r>
  <r>
    <x v="80"/>
    <s v="Richard"/>
    <s v="Smith"/>
    <s v="Richard Smith"/>
    <s v="HR01"/>
    <x v="5"/>
    <d v="2018-09-29T00:00:00"/>
    <x v="8"/>
    <x v="70"/>
    <n v="75"/>
    <x v="2"/>
    <n v="2384.7000000000003"/>
    <x v="1"/>
  </r>
  <r>
    <x v="81"/>
    <s v="Melissa"/>
    <s v="Wilson"/>
    <s v="Melissa Wilson"/>
    <s v="IT02"/>
    <x v="0"/>
    <d v="2023-09-02T00:00:00"/>
    <x v="5"/>
    <x v="71"/>
    <n v="81"/>
    <x v="2"/>
    <n v="4186.2"/>
    <x v="4"/>
  </r>
  <r>
    <x v="82"/>
    <s v="Thomas"/>
    <s v="Williams"/>
    <s v="Thomas Williams"/>
    <s v="FIN03"/>
    <x v="2"/>
    <d v="2022-07-17T00:00:00"/>
    <x v="3"/>
    <x v="72"/>
    <n v="61"/>
    <x v="0"/>
    <n v="1965.98"/>
    <x v="0"/>
  </r>
  <r>
    <x v="83"/>
    <s v="David"/>
    <s v="Williams"/>
    <s v="David Williams"/>
    <s v="FIN03"/>
    <x v="2"/>
    <d v="2021-02-07T00:00:00"/>
    <x v="6"/>
    <x v="19"/>
    <n v="68"/>
    <x v="0"/>
    <n v="0"/>
    <x v="0"/>
  </r>
  <r>
    <x v="84"/>
    <s v="John"/>
    <s v="Johnson"/>
    <s v="John Johnson"/>
    <s v="IT02"/>
    <x v="0"/>
    <d v="2023-10-04T00:00:00"/>
    <x v="5"/>
    <x v="73"/>
    <n v="70"/>
    <x v="2"/>
    <n v="2614.3500000000004"/>
    <x v="0"/>
  </r>
  <r>
    <x v="85"/>
    <s v="Richard"/>
    <s v="Gonzalez"/>
    <s v="Richard Gonzalez"/>
    <s v="IT02"/>
    <x v="0"/>
    <d v="2020-08-30T00:00:00"/>
    <x v="6"/>
    <x v="74"/>
    <n v="98"/>
    <x v="4"/>
    <n v="9915.9599999999991"/>
    <x v="1"/>
  </r>
  <r>
    <x v="86"/>
    <s v="Melissa"/>
    <s v="Anderson"/>
    <s v="Melissa Anderson"/>
    <s v="OPS06"/>
    <x v="3"/>
    <d v="2021-08-14T00:00:00"/>
    <x v="1"/>
    <x v="75"/>
    <n v="34"/>
    <x v="1"/>
    <n v="0"/>
    <x v="0"/>
  </r>
  <r>
    <x v="87"/>
    <s v="Emily"/>
    <s v="Gonzalez"/>
    <s v="Emily Gonzalez"/>
    <s v="HR01"/>
    <x v="5"/>
    <d v="2019-11-27T00:00:00"/>
    <x v="4"/>
    <x v="76"/>
    <n v="93"/>
    <x v="3"/>
    <n v="6898.56"/>
    <x v="0"/>
  </r>
  <r>
    <x v="88"/>
    <s v="Jane"/>
    <s v="Davis"/>
    <s v="Jane Davis"/>
    <s v="IT02"/>
    <x v="0"/>
    <d v="2017-05-25T00:00:00"/>
    <x v="7"/>
    <x v="77"/>
    <n v="48"/>
    <x v="1"/>
    <n v="0"/>
    <x v="0"/>
  </r>
  <r>
    <x v="89"/>
    <s v="William"/>
    <s v="Gonzalez"/>
    <s v="William Gonzalez"/>
    <s v="OPS06"/>
    <x v="3"/>
    <d v="2018-12-02T00:00:00"/>
    <x v="8"/>
    <x v="78"/>
    <n v="90"/>
    <x v="3"/>
    <n v="5494.64"/>
    <x v="0"/>
  </r>
  <r>
    <x v="90"/>
    <s v="Thomas"/>
    <s v="Jones"/>
    <s v="Thomas Jones"/>
    <s v="FIN03"/>
    <x v="2"/>
    <d v="2019-06-23T00:00:00"/>
    <x v="8"/>
    <x v="79"/>
    <n v="57"/>
    <x v="0"/>
    <n v="1678.64"/>
    <x v="2"/>
  </r>
  <r>
    <x v="91"/>
    <s v="Jessica"/>
    <s v="Anderson"/>
    <s v="Jessica Anderson"/>
    <s v="HR01"/>
    <x v="5"/>
    <d v="2015-10-27T00:00:00"/>
    <x v="2"/>
    <x v="80"/>
    <n v="79"/>
    <x v="2"/>
    <n v="2803.65"/>
    <x v="0"/>
  </r>
  <r>
    <x v="92"/>
    <s v="Melissa"/>
    <s v="Johnson"/>
    <s v="Melissa Johnson"/>
    <s v="IT02"/>
    <x v="0"/>
    <d v="2018-06-19T00:00:00"/>
    <x v="0"/>
    <x v="81"/>
    <n v="66"/>
    <x v="0"/>
    <n v="1761.1200000000001"/>
    <x v="0"/>
  </r>
  <r>
    <x v="93"/>
    <s v="Thomas"/>
    <s v="Miller"/>
    <s v="Thomas Miller"/>
    <s v="OPS06"/>
    <x v="3"/>
    <d v="2018-01-12T00:00:00"/>
    <x v="0"/>
    <x v="82"/>
    <n v="84"/>
    <x v="2"/>
    <n v="3370.7000000000003"/>
    <x v="3"/>
  </r>
  <r>
    <x v="94"/>
    <s v="William"/>
    <s v="Gonzalez"/>
    <s v="William Gonzalez"/>
    <s v="SAL05"/>
    <x v="4"/>
    <d v="2015-01-04T00:00:00"/>
    <x v="9"/>
    <x v="83"/>
    <n v="61"/>
    <x v="0"/>
    <n v="2305.7600000000002"/>
    <x v="0"/>
  </r>
  <r>
    <x v="95"/>
    <s v="Unknown"/>
    <s v="Smith"/>
    <s v="Unknown Smith"/>
    <s v="SAL05"/>
    <x v="4"/>
    <d v="2018-12-05T00:00:00"/>
    <x v="8"/>
    <x v="84"/>
    <n v="58"/>
    <x v="0"/>
    <n v="1602.8"/>
    <x v="0"/>
  </r>
  <r>
    <x v="96"/>
    <s v="John"/>
    <s v="Johnson"/>
    <s v="John Johnson"/>
    <s v="IT02"/>
    <x v="0"/>
    <d v="2021-10-13T00:00:00"/>
    <x v="1"/>
    <x v="85"/>
    <n v="69"/>
    <x v="0"/>
    <n v="1461.74"/>
    <x v="0"/>
  </r>
  <r>
    <x v="97"/>
    <s v="Jane"/>
    <s v="Johnson"/>
    <s v="Jane Johnson"/>
    <s v="SAL05"/>
    <x v="4"/>
    <d v="2020-09-07T00:00:00"/>
    <x v="6"/>
    <x v="86"/>
    <n v="34"/>
    <x v="1"/>
    <n v="0"/>
    <x v="0"/>
  </r>
  <r>
    <x v="98"/>
    <s v="John"/>
    <s v="Jones"/>
    <s v="John Jones"/>
    <s v="IT02"/>
    <x v="0"/>
    <d v="2019-03-08T00:00:00"/>
    <x v="8"/>
    <x v="19"/>
    <n v="33"/>
    <x v="1"/>
    <n v="0"/>
    <x v="0"/>
  </r>
  <r>
    <x v="99"/>
    <s v="Jane"/>
    <s v="Lopez"/>
    <s v="Jane Lopez"/>
    <s v="MKT04"/>
    <x v="1"/>
    <d v="2015-03-11T00:00:00"/>
    <x v="9"/>
    <x v="87"/>
    <n v="84"/>
    <x v="2"/>
    <n v="5087.5"/>
    <x v="3"/>
  </r>
  <r>
    <x v="100"/>
    <s v="Melissa"/>
    <s v="Gonzalez"/>
    <s v="Melissa Gonzalez"/>
    <s v="MKT04"/>
    <x v="1"/>
    <d v="2017-02-19T00:00:00"/>
    <x v="7"/>
    <x v="88"/>
    <n v="79"/>
    <x v="2"/>
    <n v="4149.6000000000004"/>
    <x v="0"/>
  </r>
  <r>
    <x v="101"/>
    <s v="William"/>
    <s v="Davis"/>
    <s v="William Davis"/>
    <s v="IT02"/>
    <x v="0"/>
    <d v="2023-05-09T00:00:00"/>
    <x v="3"/>
    <x v="89"/>
    <n v="51"/>
    <x v="0"/>
    <n v="998.84"/>
    <x v="0"/>
  </r>
  <r>
    <x v="102"/>
    <s v="John"/>
    <s v="Smith"/>
    <s v="John Smith"/>
    <s v="OPS06"/>
    <x v="3"/>
    <d v="2018-01-22T00:00:00"/>
    <x v="0"/>
    <x v="90"/>
    <n v="58"/>
    <x v="0"/>
    <n v="1781.2"/>
    <x v="0"/>
  </r>
  <r>
    <x v="103"/>
    <s v="James"/>
    <s v="Gonzalez"/>
    <s v="James Gonzalez"/>
    <s v="IT02"/>
    <x v="0"/>
    <d v="2020-02-18T00:00:00"/>
    <x v="4"/>
    <x v="91"/>
    <n v="98"/>
    <x v="4"/>
    <n v="6454.32"/>
    <x v="0"/>
  </r>
  <r>
    <x v="104"/>
    <s v="Emily"/>
    <s v="Johnson"/>
    <s v="Emily Johnson"/>
    <s v="OPS06"/>
    <x v="3"/>
    <d v="2016-05-22T00:00:00"/>
    <x v="2"/>
    <x v="92"/>
    <n v="0"/>
    <x v="1"/>
    <n v="0"/>
    <x v="0"/>
  </r>
  <r>
    <x v="105"/>
    <s v="William"/>
    <s v="Williams"/>
    <s v="William Williams"/>
    <s v="MKT04"/>
    <x v="1"/>
    <d v="2021-06-02T00:00:00"/>
    <x v="6"/>
    <x v="93"/>
    <n v="40"/>
    <x v="1"/>
    <n v="0"/>
    <x v="3"/>
  </r>
  <r>
    <x v="106"/>
    <s v="James"/>
    <s v="Jones"/>
    <s v="James Jones"/>
    <s v="IT02"/>
    <x v="0"/>
    <d v="2021-07-17T00:00:00"/>
    <x v="1"/>
    <x v="94"/>
    <n v="88"/>
    <x v="3"/>
    <n v="7333.76"/>
    <x v="1"/>
  </r>
  <r>
    <x v="107"/>
    <s v="Jessica"/>
    <s v="Gonzalez"/>
    <s v="Jessica Gonzalez"/>
    <s v="HR01"/>
    <x v="5"/>
    <d v="2016-11-13T00:00:00"/>
    <x v="7"/>
    <x v="95"/>
    <n v="77"/>
    <x v="2"/>
    <n v="3886.8500000000004"/>
    <x v="0"/>
  </r>
  <r>
    <x v="108"/>
    <s v="Sarah"/>
    <s v="Miller"/>
    <s v="Sarah Miller"/>
    <s v="SAL05"/>
    <x v="4"/>
    <d v="2019-02-17T00:00:00"/>
    <x v="8"/>
    <x v="96"/>
    <n v="91"/>
    <x v="3"/>
    <n v="7654.88"/>
    <x v="0"/>
  </r>
  <r>
    <x v="109"/>
    <s v="Jessica"/>
    <s v="Smith"/>
    <s v="Jessica Smith"/>
    <s v="SAL05"/>
    <x v="4"/>
    <d v="2016-09-12T00:00:00"/>
    <x v="7"/>
    <x v="97"/>
    <n v="36"/>
    <x v="1"/>
    <n v="0"/>
    <x v="1"/>
  </r>
  <r>
    <x v="110"/>
    <s v="Thomas"/>
    <s v="Jones"/>
    <s v="Thomas Jones"/>
    <s v="OPS06"/>
    <x v="3"/>
    <d v="2021-08-13T00:00:00"/>
    <x v="1"/>
    <x v="98"/>
    <n v="72"/>
    <x v="2"/>
    <n v="5456.05"/>
    <x v="0"/>
  </r>
  <r>
    <x v="111"/>
    <s v="Amanda"/>
    <s v="Brown"/>
    <s v="Amanda Brown"/>
    <s v="MKT04"/>
    <x v="1"/>
    <d v="2020-06-14T00:00:00"/>
    <x v="4"/>
    <x v="99"/>
    <n v="87"/>
    <x v="3"/>
    <n v="9023.2800000000007"/>
    <x v="0"/>
  </r>
  <r>
    <x v="112"/>
    <s v="Robert"/>
    <s v="Martinez"/>
    <s v="Robert Martinez"/>
    <s v="IT02"/>
    <x v="0"/>
    <d v="2022-07-05T00:00:00"/>
    <x v="3"/>
    <x v="100"/>
    <n v="71"/>
    <x v="2"/>
    <n v="5900.4000000000005"/>
    <x v="0"/>
  </r>
  <r>
    <x v="113"/>
    <s v="Thomas"/>
    <s v="Miller"/>
    <s v="Thomas Miller"/>
    <s v="IT02"/>
    <x v="0"/>
    <d v="2016-07-10T00:00:00"/>
    <x v="7"/>
    <x v="101"/>
    <n v="82"/>
    <x v="2"/>
    <n v="3718.5"/>
    <x v="0"/>
  </r>
  <r>
    <x v="114"/>
    <s v="David"/>
    <s v="Rodriguez"/>
    <s v="David Rodriguez"/>
    <s v="IT02"/>
    <x v="0"/>
    <d v="2022-04-23T00:00:00"/>
    <x v="1"/>
    <x v="102"/>
    <n v="79"/>
    <x v="2"/>
    <n v="3890.9500000000003"/>
    <x v="1"/>
  </r>
  <r>
    <x v="115"/>
    <s v="Jane"/>
    <s v="Miller"/>
    <s v="Jane Miller"/>
    <s v="MKT04"/>
    <x v="1"/>
    <d v="2017-05-10T00:00:00"/>
    <x v="7"/>
    <x v="103"/>
    <n v="83"/>
    <x v="2"/>
    <n v="2437.4"/>
    <x v="0"/>
  </r>
  <r>
    <x v="116"/>
    <s v="James"/>
    <s v="Rodriguez"/>
    <s v="James Rodriguez"/>
    <s v="OPS06"/>
    <x v="3"/>
    <d v="2020-05-20T00:00:00"/>
    <x v="4"/>
    <x v="104"/>
    <n v="38"/>
    <x v="1"/>
    <n v="0"/>
    <x v="4"/>
  </r>
  <r>
    <x v="117"/>
    <s v="Sarah"/>
    <s v="Rodriguez"/>
    <s v="Sarah Rodriguez"/>
    <s v="HR01"/>
    <x v="5"/>
    <d v="2023-04-20T00:00:00"/>
    <x v="3"/>
    <x v="105"/>
    <n v="77"/>
    <x v="2"/>
    <n v="5763"/>
    <x v="0"/>
  </r>
  <r>
    <x v="118"/>
    <s v="Sarah"/>
    <s v="Wilson"/>
    <s v="Sarah Wilson"/>
    <s v="SAL05"/>
    <x v="4"/>
    <d v="2021-10-31T00:00:00"/>
    <x v="1"/>
    <x v="19"/>
    <n v="49"/>
    <x v="1"/>
    <n v="0"/>
    <x v="0"/>
  </r>
  <r>
    <x v="119"/>
    <s v="Melissa"/>
    <s v="Brown"/>
    <s v="Melissa Brown"/>
    <s v="IT02"/>
    <x v="0"/>
    <d v="2021-10-24T00:00:00"/>
    <x v="1"/>
    <x v="19"/>
    <n v="69"/>
    <x v="0"/>
    <n v="0"/>
    <x v="3"/>
  </r>
  <r>
    <x v="120"/>
    <s v="Robert"/>
    <s v="Williams"/>
    <s v="Robert Williams"/>
    <s v="SAL05"/>
    <x v="4"/>
    <d v="2017-08-09T00:00:00"/>
    <x v="0"/>
    <x v="19"/>
    <n v="76"/>
    <x v="2"/>
    <n v="0"/>
    <x v="0"/>
  </r>
  <r>
    <x v="121"/>
    <s v="Melissa"/>
    <s v="Rodriguez"/>
    <s v="Melissa Rodriguez"/>
    <s v="OPS06"/>
    <x v="3"/>
    <d v="2023-01-04T00:00:00"/>
    <x v="3"/>
    <x v="106"/>
    <n v="78"/>
    <x v="2"/>
    <n v="3031.15"/>
    <x v="0"/>
  </r>
  <r>
    <x v="122"/>
    <s v="James"/>
    <s v="Johnson"/>
    <s v="James Johnson"/>
    <s v="HR01"/>
    <x v="5"/>
    <d v="2020-08-10T00:00:00"/>
    <x v="6"/>
    <x v="107"/>
    <n v="93"/>
    <x v="3"/>
    <n v="5447.36"/>
    <x v="0"/>
  </r>
  <r>
    <x v="123"/>
    <s v="Michael"/>
    <s v="Wilson"/>
    <s v="Michael Wilson"/>
    <s v="MKT04"/>
    <x v="1"/>
    <d v="2022-04-02T00:00:00"/>
    <x v="1"/>
    <x v="108"/>
    <n v="68"/>
    <x v="0"/>
    <n v="1763.1000000000001"/>
    <x v="0"/>
  </r>
  <r>
    <x v="124"/>
    <s v="William"/>
    <s v="Jones"/>
    <s v="William Jones"/>
    <s v="MKT04"/>
    <x v="1"/>
    <d v="2018-03-24T00:00:00"/>
    <x v="0"/>
    <x v="109"/>
    <n v="42"/>
    <x v="1"/>
    <n v="0"/>
    <x v="1"/>
  </r>
  <r>
    <x v="125"/>
    <s v="William"/>
    <s v="Williams"/>
    <s v="William Williams"/>
    <s v="IT02"/>
    <x v="0"/>
    <d v="2018-07-24T00:00:00"/>
    <x v="8"/>
    <x v="110"/>
    <n v="34"/>
    <x v="1"/>
    <n v="0"/>
    <x v="1"/>
  </r>
  <r>
    <x v="126"/>
    <s v="David"/>
    <s v="Williams"/>
    <s v="David Williams"/>
    <s v="HR01"/>
    <x v="5"/>
    <d v="2018-07-20T00:00:00"/>
    <x v="8"/>
    <x v="111"/>
    <n v="35"/>
    <x v="1"/>
    <n v="0"/>
    <x v="1"/>
  </r>
  <r>
    <x v="127"/>
    <s v="Jane"/>
    <s v="Davis"/>
    <s v="Jane Davis"/>
    <s v="FIN03"/>
    <x v="2"/>
    <d v="2016-03-04T00:00:00"/>
    <x v="2"/>
    <x v="112"/>
    <n v="95"/>
    <x v="4"/>
    <n v="5566.8"/>
    <x v="0"/>
  </r>
  <r>
    <x v="128"/>
    <s v="John"/>
    <s v="Martinez"/>
    <s v="John Martinez"/>
    <s v="HR01"/>
    <x v="5"/>
    <d v="2022-03-23T00:00:00"/>
    <x v="1"/>
    <x v="113"/>
    <n v="90"/>
    <x v="3"/>
    <n v="8953.6"/>
    <x v="2"/>
  </r>
  <r>
    <x v="129"/>
    <s v="David"/>
    <s v="Anderson"/>
    <s v="David Anderson"/>
    <s v="HR01"/>
    <x v="5"/>
    <d v="2017-07-28T00:00:00"/>
    <x v="0"/>
    <x v="114"/>
    <n v="42"/>
    <x v="1"/>
    <n v="0"/>
    <x v="1"/>
  </r>
  <r>
    <x v="130"/>
    <s v="Sarah"/>
    <s v="Smith"/>
    <s v="Sarah Smith"/>
    <s v="SAL05"/>
    <x v="4"/>
    <d v="2023-05-11T00:00:00"/>
    <x v="3"/>
    <x v="115"/>
    <n v="88"/>
    <x v="3"/>
    <n v="8849.44"/>
    <x v="4"/>
  </r>
  <r>
    <x v="131"/>
    <s v="Melissa"/>
    <s v="Hernandez"/>
    <s v="Melissa Hernandez"/>
    <s v="OPS06"/>
    <x v="3"/>
    <d v="2022-03-19T00:00:00"/>
    <x v="1"/>
    <x v="116"/>
    <n v="78"/>
    <x v="2"/>
    <n v="5419.75"/>
    <x v="3"/>
  </r>
  <r>
    <x v="132"/>
    <s v="Melissa"/>
    <s v="Johnson"/>
    <s v="Melissa Johnson"/>
    <s v="FIN03"/>
    <x v="2"/>
    <d v="2017-12-22T00:00:00"/>
    <x v="0"/>
    <x v="117"/>
    <n v="69"/>
    <x v="0"/>
    <n v="1760.1000000000001"/>
    <x v="0"/>
  </r>
  <r>
    <x v="133"/>
    <s v="Jane"/>
    <s v="Garcia"/>
    <s v="Jane Garcia"/>
    <s v="MKT04"/>
    <x v="1"/>
    <d v="2021-08-29T00:00:00"/>
    <x v="1"/>
    <x v="118"/>
    <n v="82"/>
    <x v="2"/>
    <n v="4150.3500000000004"/>
    <x v="0"/>
  </r>
  <r>
    <x v="134"/>
    <s v="David"/>
    <s v="Davis"/>
    <s v="David Davis"/>
    <s v="IT02"/>
    <x v="0"/>
    <d v="2018-09-17T00:00:00"/>
    <x v="8"/>
    <x v="119"/>
    <n v="68"/>
    <x v="0"/>
    <n v="1230.94"/>
    <x v="1"/>
  </r>
  <r>
    <x v="135"/>
    <s v="James"/>
    <s v="Wilson"/>
    <s v="James Wilson"/>
    <s v="SAL05"/>
    <x v="4"/>
    <d v="2021-06-28T00:00:00"/>
    <x v="6"/>
    <x v="19"/>
    <n v="52"/>
    <x v="0"/>
    <n v="0"/>
    <x v="0"/>
  </r>
  <r>
    <x v="136"/>
    <s v="Richard"/>
    <s v="Johnson"/>
    <s v="Richard Johnson"/>
    <s v="OPS06"/>
    <x v="3"/>
    <d v="2017-10-03T00:00:00"/>
    <x v="0"/>
    <x v="120"/>
    <n v="92"/>
    <x v="3"/>
    <n v="4031.92"/>
    <x v="3"/>
  </r>
  <r>
    <x v="137"/>
    <s v="Richard"/>
    <s v="Williams"/>
    <s v="Richard Williams"/>
    <s v="FIN03"/>
    <x v="2"/>
    <d v="2015-10-22T00:00:00"/>
    <x v="2"/>
    <x v="19"/>
    <n v="62"/>
    <x v="0"/>
    <n v="0"/>
    <x v="1"/>
  </r>
  <r>
    <x v="138"/>
    <s v="John"/>
    <s v="Hernandez"/>
    <s v="John Hernandez"/>
    <s v="OPS06"/>
    <x v="3"/>
    <d v="2018-06-06T00:00:00"/>
    <x v="0"/>
    <x v="121"/>
    <n v="68"/>
    <x v="0"/>
    <n v="1054.4000000000001"/>
    <x v="1"/>
  </r>
  <r>
    <x v="139"/>
    <s v="Sarah"/>
    <s v="Gonzalez"/>
    <s v="Sarah Gonzalez"/>
    <s v="OPS06"/>
    <x v="3"/>
    <d v="2017-07-16T00:00:00"/>
    <x v="0"/>
    <x v="122"/>
    <n v="98"/>
    <x v="4"/>
    <n v="7807.7999999999993"/>
    <x v="0"/>
  </r>
  <r>
    <x v="140"/>
    <s v="Melissa"/>
    <s v="Hernandez"/>
    <s v="Melissa Hernandez"/>
    <s v="SAL05"/>
    <x v="4"/>
    <d v="2015-06-20T00:00:00"/>
    <x v="9"/>
    <x v="19"/>
    <n v="94"/>
    <x v="3"/>
    <n v="0"/>
    <x v="4"/>
  </r>
  <r>
    <x v="141"/>
    <s v="Melissa"/>
    <s v="Hernandez"/>
    <s v="Melissa Hernandez"/>
    <s v="OPS06"/>
    <x v="3"/>
    <d v="2019-05-24T00:00:00"/>
    <x v="8"/>
    <x v="123"/>
    <n v="57"/>
    <x v="0"/>
    <n v="2162.38"/>
    <x v="4"/>
  </r>
  <r>
    <x v="142"/>
    <s v="John"/>
    <s v="Davis"/>
    <s v="John Davis"/>
    <s v="IT02"/>
    <x v="0"/>
    <d v="2020-02-26T00:00:00"/>
    <x v="4"/>
    <x v="19"/>
    <n v="96"/>
    <x v="4"/>
    <n v="0"/>
    <x v="0"/>
  </r>
  <r>
    <x v="143"/>
    <s v="Richard"/>
    <s v="Davis"/>
    <s v="Richard Davis"/>
    <s v="HR01"/>
    <x v="5"/>
    <d v="2023-03-06T00:00:00"/>
    <x v="3"/>
    <x v="124"/>
    <n v="52"/>
    <x v="0"/>
    <n v="2137.92"/>
    <x v="2"/>
  </r>
  <r>
    <x v="144"/>
    <s v="Unknown"/>
    <s v="Jones"/>
    <s v="Unknown Jones"/>
    <s v="IT02"/>
    <x v="0"/>
    <d v="2019-01-12T00:00:00"/>
    <x v="8"/>
    <x v="125"/>
    <n v="59"/>
    <x v="0"/>
    <n v="2257.7400000000002"/>
    <x v="0"/>
  </r>
  <r>
    <x v="145"/>
    <s v="William"/>
    <s v="Rodriguez"/>
    <s v="William Rodriguez"/>
    <s v="FIN03"/>
    <x v="2"/>
    <d v="2023-04-21T00:00:00"/>
    <x v="3"/>
    <x v="126"/>
    <n v="79"/>
    <x v="2"/>
    <n v="4272.8500000000004"/>
    <x v="1"/>
  </r>
  <r>
    <x v="146"/>
    <s v="Melissa"/>
    <s v="Miller"/>
    <s v="Melissa Miller"/>
    <s v="SAL05"/>
    <x v="4"/>
    <d v="2016-05-29T00:00:00"/>
    <x v="2"/>
    <x v="127"/>
    <n v="30"/>
    <x v="1"/>
    <n v="0"/>
    <x v="1"/>
  </r>
  <r>
    <x v="147"/>
    <s v="Emily"/>
    <s v="Martinez"/>
    <s v="Emily Martinez"/>
    <s v="OPS06"/>
    <x v="3"/>
    <d v="2022-05-30T00:00:00"/>
    <x v="1"/>
    <x v="128"/>
    <n v="73"/>
    <x v="2"/>
    <n v="2389.7000000000003"/>
    <x v="2"/>
  </r>
  <r>
    <x v="148"/>
    <s v="James"/>
    <s v="Rodriguez"/>
    <s v="James Rodriguez"/>
    <s v="MKT04"/>
    <x v="1"/>
    <d v="2016-11-03T00:00:00"/>
    <x v="7"/>
    <x v="129"/>
    <n v="74"/>
    <x v="2"/>
    <n v="4654.7"/>
    <x v="0"/>
  </r>
  <r>
    <x v="149"/>
    <s v="Amanda"/>
    <s v="Brown"/>
    <s v="Amanda Brown"/>
    <s v="IT02"/>
    <x v="0"/>
    <d v="2022-10-14T00:00:00"/>
    <x v="3"/>
    <x v="130"/>
    <n v="91"/>
    <x v="3"/>
    <n v="9490.7199999999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D6B9E7-33C9-42D6-8638-D4F3A2D7F6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M12" firstHeaderRow="1" firstDataRow="2" firstDataCol="1"/>
  <pivotFields count="13">
    <pivotField dataField="1" showAll="0" countASubtotal="1">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countA"/>
      </items>
    </pivotField>
    <pivotField showAll="0"/>
    <pivotField showAll="0"/>
    <pivotField showAll="0"/>
    <pivotField showAll="0"/>
    <pivotField axis="axisRow" showAll="0">
      <items count="7">
        <item x="2"/>
        <item x="5"/>
        <item x="0"/>
        <item x="1"/>
        <item x="3"/>
        <item x="4"/>
        <item t="default"/>
      </items>
    </pivotField>
    <pivotField numFmtId="14" showAll="0"/>
    <pivotField showAll="0">
      <items count="11">
        <item x="2"/>
        <item x="9"/>
        <item x="5"/>
        <item x="3"/>
        <item x="1"/>
        <item x="6"/>
        <item x="4"/>
        <item x="8"/>
        <item x="0"/>
        <item x="7"/>
        <item t="default"/>
      </items>
    </pivotField>
    <pivotField numFmtId="164" showAll="0">
      <items count="132">
        <item x="19"/>
        <item x="66"/>
        <item x="112"/>
        <item x="75"/>
        <item x="70"/>
        <item x="128"/>
        <item x="103"/>
        <item x="65"/>
        <item x="54"/>
        <item x="89"/>
        <item x="0"/>
        <item x="120"/>
        <item x="27"/>
        <item x="60"/>
        <item x="62"/>
        <item x="73"/>
        <item x="39"/>
        <item x="121"/>
        <item x="91"/>
        <item x="63"/>
        <item x="50"/>
        <item x="80"/>
        <item x="37"/>
        <item x="32"/>
        <item x="6"/>
        <item x="106"/>
        <item x="12"/>
        <item x="119"/>
        <item x="127"/>
        <item x="110"/>
        <item x="57"/>
        <item x="122"/>
        <item x="64"/>
        <item x="15"/>
        <item x="30"/>
        <item x="40"/>
        <item x="93"/>
        <item x="82"/>
        <item x="107"/>
        <item x="24"/>
        <item x="78"/>
        <item x="7"/>
        <item x="36"/>
        <item x="68"/>
        <item x="85"/>
        <item x="4"/>
        <item x="18"/>
        <item x="101"/>
        <item x="47"/>
        <item x="58"/>
        <item x="11"/>
        <item x="77"/>
        <item x="26"/>
        <item x="95"/>
        <item x="102"/>
        <item x="42"/>
        <item x="84"/>
        <item x="51"/>
        <item x="14"/>
        <item x="92"/>
        <item x="25"/>
        <item x="41"/>
        <item x="74"/>
        <item x="88"/>
        <item x="118"/>
        <item x="46"/>
        <item x="71"/>
        <item x="79"/>
        <item x="111"/>
        <item x="28"/>
        <item x="126"/>
        <item x="76"/>
        <item x="38"/>
        <item x="67"/>
        <item x="69"/>
        <item x="117"/>
        <item x="81"/>
        <item x="108"/>
        <item x="90"/>
        <item x="31"/>
        <item x="53"/>
        <item x="94"/>
        <item x="44"/>
        <item x="129"/>
        <item x="48"/>
        <item x="22"/>
        <item x="9"/>
        <item x="86"/>
        <item x="96"/>
        <item x="29"/>
        <item x="72"/>
        <item x="45"/>
        <item x="13"/>
        <item x="23"/>
        <item x="87"/>
        <item x="104"/>
        <item x="8"/>
        <item x="34"/>
        <item x="17"/>
        <item x="3"/>
        <item x="59"/>
        <item x="43"/>
        <item x="16"/>
        <item x="124"/>
        <item x="21"/>
        <item x="109"/>
        <item x="123"/>
        <item x="116"/>
        <item x="98"/>
        <item x="55"/>
        <item x="115"/>
        <item x="61"/>
        <item x="35"/>
        <item x="113"/>
        <item x="1"/>
        <item x="99"/>
        <item x="125"/>
        <item x="33"/>
        <item x="2"/>
        <item x="97"/>
        <item x="56"/>
        <item x="105"/>
        <item x="83"/>
        <item x="49"/>
        <item x="114"/>
        <item x="5"/>
        <item x="100"/>
        <item x="20"/>
        <item x="130"/>
        <item x="10"/>
        <item x="52"/>
        <item t="default"/>
      </items>
    </pivotField>
    <pivotField showAll="0"/>
    <pivotField showAll="0">
      <items count="6">
        <item x="2"/>
        <item x="0"/>
        <item x="3"/>
        <item x="1"/>
        <item x="4"/>
        <item t="default"/>
      </items>
    </pivotField>
    <pivotField showAll="0"/>
    <pivotField axis="axisCol" showAll="0">
      <items count="6">
        <item x="1"/>
        <item x="2"/>
        <item x="0"/>
        <item x="3"/>
        <item x="4"/>
        <item t="default"/>
      </items>
    </pivotField>
  </pivotFields>
  <rowFields count="1">
    <field x="5"/>
  </rowFields>
  <rowItems count="7">
    <i>
      <x/>
    </i>
    <i>
      <x v="1"/>
    </i>
    <i>
      <x v="2"/>
    </i>
    <i>
      <x v="3"/>
    </i>
    <i>
      <x v="4"/>
    </i>
    <i>
      <x v="5"/>
    </i>
    <i t="grand">
      <x/>
    </i>
  </rowItems>
  <colFields count="1">
    <field x="12"/>
  </colFields>
  <colItems count="6">
    <i>
      <x/>
    </i>
    <i>
      <x v="1"/>
    </i>
    <i>
      <x v="2"/>
    </i>
    <i>
      <x v="3"/>
    </i>
    <i>
      <x v="4"/>
    </i>
    <i t="grand">
      <x/>
    </i>
  </colItems>
  <dataFields count="1">
    <dataField name="Department" fld="0" subtotal="count" baseField="0" baseItem="0"/>
  </dataFields>
  <chartFormats count="5">
    <chartFormat chart="4" format="10" series="1">
      <pivotArea type="data" outline="0" fieldPosition="0">
        <references count="2">
          <reference field="4294967294" count="1" selected="0">
            <x v="0"/>
          </reference>
          <reference field="12" count="1" selected="0">
            <x v="0"/>
          </reference>
        </references>
      </pivotArea>
    </chartFormat>
    <chartFormat chart="4" format="11" series="1">
      <pivotArea type="data" outline="0" fieldPosition="0">
        <references count="2">
          <reference field="4294967294" count="1" selected="0">
            <x v="0"/>
          </reference>
          <reference field="12" count="1" selected="0">
            <x v="1"/>
          </reference>
        </references>
      </pivotArea>
    </chartFormat>
    <chartFormat chart="4" format="12" series="1">
      <pivotArea type="data" outline="0" fieldPosition="0">
        <references count="2">
          <reference field="4294967294" count="1" selected="0">
            <x v="0"/>
          </reference>
          <reference field="12" count="1" selected="0">
            <x v="2"/>
          </reference>
        </references>
      </pivotArea>
    </chartFormat>
    <chartFormat chart="4" format="13" series="1">
      <pivotArea type="data" outline="0" fieldPosition="0">
        <references count="2">
          <reference field="4294967294" count="1" selected="0">
            <x v="0"/>
          </reference>
          <reference field="12" count="1" selected="0">
            <x v="3"/>
          </reference>
        </references>
      </pivotArea>
    </chartFormat>
    <chartFormat chart="4"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6D88BB-98A4-40CB-91D4-3FCEBFEDF3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 Band">
  <location ref="G15:H21" firstHeaderRow="1" firstDataRow="1" firstDataCol="1"/>
  <pivotFields count="13">
    <pivotField showAll="0" countASubtotal="1">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countA"/>
      </items>
    </pivotField>
    <pivotField showAll="0"/>
    <pivotField showAll="0"/>
    <pivotField showAll="0"/>
    <pivotField showAll="0"/>
    <pivotField showAll="0">
      <items count="7">
        <item x="2"/>
        <item x="5"/>
        <item x="0"/>
        <item x="1"/>
        <item x="3"/>
        <item x="4"/>
        <item t="default"/>
      </items>
    </pivotField>
    <pivotField numFmtId="14" showAll="0"/>
    <pivotField showAll="0">
      <items count="11">
        <item x="2"/>
        <item x="9"/>
        <item x="5"/>
        <item x="3"/>
        <item x="1"/>
        <item x="6"/>
        <item x="4"/>
        <item x="8"/>
        <item x="0"/>
        <item x="7"/>
        <item t="default"/>
      </items>
    </pivotField>
    <pivotField numFmtId="164" showAll="0">
      <items count="132">
        <item x="19"/>
        <item x="66"/>
        <item x="112"/>
        <item x="75"/>
        <item x="70"/>
        <item x="128"/>
        <item x="103"/>
        <item x="65"/>
        <item x="54"/>
        <item x="89"/>
        <item x="0"/>
        <item x="120"/>
        <item x="27"/>
        <item x="60"/>
        <item x="62"/>
        <item x="73"/>
        <item x="39"/>
        <item x="121"/>
        <item x="91"/>
        <item x="63"/>
        <item x="50"/>
        <item x="80"/>
        <item x="37"/>
        <item x="32"/>
        <item x="6"/>
        <item x="106"/>
        <item x="12"/>
        <item x="119"/>
        <item x="127"/>
        <item x="110"/>
        <item x="57"/>
        <item x="122"/>
        <item x="64"/>
        <item x="15"/>
        <item x="30"/>
        <item x="40"/>
        <item x="93"/>
        <item x="82"/>
        <item x="107"/>
        <item x="24"/>
        <item x="78"/>
        <item x="7"/>
        <item x="36"/>
        <item x="68"/>
        <item x="85"/>
        <item x="4"/>
        <item x="18"/>
        <item x="101"/>
        <item x="47"/>
        <item x="58"/>
        <item x="11"/>
        <item x="77"/>
        <item x="26"/>
        <item x="95"/>
        <item x="102"/>
        <item x="42"/>
        <item x="84"/>
        <item x="51"/>
        <item x="14"/>
        <item x="92"/>
        <item x="25"/>
        <item x="41"/>
        <item x="74"/>
        <item x="88"/>
        <item x="118"/>
        <item x="46"/>
        <item x="71"/>
        <item x="79"/>
        <item x="111"/>
        <item x="28"/>
        <item x="126"/>
        <item x="76"/>
        <item x="38"/>
        <item x="67"/>
        <item x="69"/>
        <item x="117"/>
        <item x="81"/>
        <item x="108"/>
        <item x="90"/>
        <item x="31"/>
        <item x="53"/>
        <item x="94"/>
        <item x="44"/>
        <item x="129"/>
        <item x="48"/>
        <item x="22"/>
        <item x="9"/>
        <item x="86"/>
        <item x="96"/>
        <item x="29"/>
        <item x="72"/>
        <item x="45"/>
        <item x="13"/>
        <item x="23"/>
        <item x="87"/>
        <item x="104"/>
        <item x="8"/>
        <item x="34"/>
        <item x="17"/>
        <item x="3"/>
        <item x="59"/>
        <item x="43"/>
        <item x="16"/>
        <item x="124"/>
        <item x="21"/>
        <item x="109"/>
        <item x="123"/>
        <item x="116"/>
        <item x="98"/>
        <item x="55"/>
        <item x="115"/>
        <item x="61"/>
        <item x="35"/>
        <item x="113"/>
        <item x="1"/>
        <item x="99"/>
        <item x="125"/>
        <item x="33"/>
        <item x="2"/>
        <item x="97"/>
        <item x="56"/>
        <item x="105"/>
        <item x="83"/>
        <item x="49"/>
        <item x="114"/>
        <item x="5"/>
        <item x="100"/>
        <item x="20"/>
        <item x="130"/>
        <item x="10"/>
        <item x="52"/>
        <item t="default"/>
      </items>
    </pivotField>
    <pivotField showAll="0"/>
    <pivotField axis="axisRow" showAll="0">
      <items count="6">
        <item x="2"/>
        <item x="0"/>
        <item x="3"/>
        <item x="1"/>
        <item x="4"/>
        <item t="default"/>
      </items>
    </pivotField>
    <pivotField dataField="1" showAll="0"/>
    <pivotField showAll="0">
      <items count="6">
        <item x="1"/>
        <item x="2"/>
        <item x="0"/>
        <item x="3"/>
        <item x="4"/>
        <item t="default"/>
      </items>
    </pivotField>
  </pivotFields>
  <rowFields count="1">
    <field x="10"/>
  </rowFields>
  <rowItems count="6">
    <i>
      <x/>
    </i>
    <i>
      <x v="1"/>
    </i>
    <i>
      <x v="2"/>
    </i>
    <i>
      <x v="3"/>
    </i>
    <i>
      <x v="4"/>
    </i>
    <i t="grand">
      <x/>
    </i>
  </rowItems>
  <colItems count="1">
    <i/>
  </colItems>
  <dataFields count="1">
    <dataField name="Sum of Eligible Bonus Amount" fld="11"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C3AEF-C410-4C08-9E91-A276756BEE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3:C10" firstHeaderRow="0" firstDataRow="1" firstDataCol="1"/>
  <pivotFields count="13">
    <pivotField dataField="1" showAll="0" countASubtotal="1">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countA"/>
      </items>
    </pivotField>
    <pivotField showAll="0"/>
    <pivotField showAll="0"/>
    <pivotField showAll="0"/>
    <pivotField showAll="0"/>
    <pivotField axis="axisRow" showAll="0">
      <items count="7">
        <item x="2"/>
        <item x="5"/>
        <item x="0"/>
        <item x="1"/>
        <item x="3"/>
        <item x="4"/>
        <item t="default"/>
      </items>
    </pivotField>
    <pivotField numFmtId="14" showAll="0"/>
    <pivotField showAll="0">
      <items count="11">
        <item x="2"/>
        <item x="9"/>
        <item x="5"/>
        <item x="3"/>
        <item x="1"/>
        <item x="6"/>
        <item x="4"/>
        <item x="8"/>
        <item x="0"/>
        <item x="7"/>
        <item t="default"/>
      </items>
    </pivotField>
    <pivotField dataField="1" numFmtId="164" showAll="0">
      <items count="132">
        <item x="19"/>
        <item x="66"/>
        <item x="112"/>
        <item x="75"/>
        <item x="70"/>
        <item x="128"/>
        <item x="103"/>
        <item x="65"/>
        <item x="54"/>
        <item x="89"/>
        <item x="0"/>
        <item x="120"/>
        <item x="27"/>
        <item x="60"/>
        <item x="62"/>
        <item x="73"/>
        <item x="39"/>
        <item x="121"/>
        <item x="91"/>
        <item x="63"/>
        <item x="50"/>
        <item x="80"/>
        <item x="37"/>
        <item x="32"/>
        <item x="6"/>
        <item x="106"/>
        <item x="12"/>
        <item x="119"/>
        <item x="127"/>
        <item x="110"/>
        <item x="57"/>
        <item x="122"/>
        <item x="64"/>
        <item x="15"/>
        <item x="30"/>
        <item x="40"/>
        <item x="93"/>
        <item x="82"/>
        <item x="107"/>
        <item x="24"/>
        <item x="78"/>
        <item x="7"/>
        <item x="36"/>
        <item x="68"/>
        <item x="85"/>
        <item x="4"/>
        <item x="18"/>
        <item x="101"/>
        <item x="47"/>
        <item x="58"/>
        <item x="11"/>
        <item x="77"/>
        <item x="26"/>
        <item x="95"/>
        <item x="102"/>
        <item x="42"/>
        <item x="84"/>
        <item x="51"/>
        <item x="14"/>
        <item x="92"/>
        <item x="25"/>
        <item x="41"/>
        <item x="74"/>
        <item x="88"/>
        <item x="118"/>
        <item x="46"/>
        <item x="71"/>
        <item x="79"/>
        <item x="111"/>
        <item x="28"/>
        <item x="126"/>
        <item x="76"/>
        <item x="38"/>
        <item x="67"/>
        <item x="69"/>
        <item x="117"/>
        <item x="81"/>
        <item x="108"/>
        <item x="90"/>
        <item x="31"/>
        <item x="53"/>
        <item x="94"/>
        <item x="44"/>
        <item x="129"/>
        <item x="48"/>
        <item x="22"/>
        <item x="9"/>
        <item x="86"/>
        <item x="96"/>
        <item x="29"/>
        <item x="72"/>
        <item x="45"/>
        <item x="13"/>
        <item x="23"/>
        <item x="87"/>
        <item x="104"/>
        <item x="8"/>
        <item x="34"/>
        <item x="17"/>
        <item x="3"/>
        <item x="59"/>
        <item x="43"/>
        <item x="16"/>
        <item x="124"/>
        <item x="21"/>
        <item x="109"/>
        <item x="123"/>
        <item x="116"/>
        <item x="98"/>
        <item x="55"/>
        <item x="115"/>
        <item x="61"/>
        <item x="35"/>
        <item x="113"/>
        <item x="1"/>
        <item x="99"/>
        <item x="125"/>
        <item x="33"/>
        <item x="2"/>
        <item x="97"/>
        <item x="56"/>
        <item x="105"/>
        <item x="83"/>
        <item x="49"/>
        <item x="114"/>
        <item x="5"/>
        <item x="100"/>
        <item x="20"/>
        <item x="130"/>
        <item x="10"/>
        <item x="52"/>
        <item t="default"/>
      </items>
    </pivotField>
    <pivotField showAll="0"/>
    <pivotField showAll="0">
      <items count="6">
        <item x="2"/>
        <item x="0"/>
        <item x="3"/>
        <item x="1"/>
        <item x="4"/>
        <item t="default"/>
      </items>
    </pivotField>
    <pivotField showAll="0"/>
    <pivotField showAll="0">
      <items count="6">
        <item x="1"/>
        <item x="2"/>
        <item x="0"/>
        <item x="3"/>
        <item x="4"/>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Count of Emp ID" fld="0" subtotal="count" baseField="0" baseItem="0"/>
    <dataField name="Average of Salary" fld="8" subtotal="average"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CBD6A-2CFC-482F-9CB8-940BF50AEA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mployment Satus">
  <location ref="A15:B21" firstHeaderRow="1" firstDataRow="1" firstDataCol="1"/>
  <pivotFields count="13">
    <pivotField showAll="0" countASubtotal="1">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countA"/>
      </items>
    </pivotField>
    <pivotField showAll="0"/>
    <pivotField showAll="0"/>
    <pivotField showAll="0"/>
    <pivotField showAll="0"/>
    <pivotField showAll="0">
      <items count="7">
        <item x="2"/>
        <item x="5"/>
        <item x="0"/>
        <item x="1"/>
        <item x="3"/>
        <item x="4"/>
        <item t="default"/>
      </items>
    </pivotField>
    <pivotField numFmtId="14" showAll="0"/>
    <pivotField showAll="0">
      <items count="11">
        <item x="2"/>
        <item x="9"/>
        <item x="5"/>
        <item x="3"/>
        <item x="1"/>
        <item x="6"/>
        <item x="4"/>
        <item x="8"/>
        <item x="0"/>
        <item x="7"/>
        <item t="default"/>
      </items>
    </pivotField>
    <pivotField numFmtId="164" showAll="0">
      <items count="132">
        <item x="19"/>
        <item x="66"/>
        <item x="112"/>
        <item x="75"/>
        <item x="70"/>
        <item x="128"/>
        <item x="103"/>
        <item x="65"/>
        <item x="54"/>
        <item x="89"/>
        <item x="0"/>
        <item x="120"/>
        <item x="27"/>
        <item x="60"/>
        <item x="62"/>
        <item x="73"/>
        <item x="39"/>
        <item x="121"/>
        <item x="91"/>
        <item x="63"/>
        <item x="50"/>
        <item x="80"/>
        <item x="37"/>
        <item x="32"/>
        <item x="6"/>
        <item x="106"/>
        <item x="12"/>
        <item x="119"/>
        <item x="127"/>
        <item x="110"/>
        <item x="57"/>
        <item x="122"/>
        <item x="64"/>
        <item x="15"/>
        <item x="30"/>
        <item x="40"/>
        <item x="93"/>
        <item x="82"/>
        <item x="107"/>
        <item x="24"/>
        <item x="78"/>
        <item x="7"/>
        <item x="36"/>
        <item x="68"/>
        <item x="85"/>
        <item x="4"/>
        <item x="18"/>
        <item x="101"/>
        <item x="47"/>
        <item x="58"/>
        <item x="11"/>
        <item x="77"/>
        <item x="26"/>
        <item x="95"/>
        <item x="102"/>
        <item x="42"/>
        <item x="84"/>
        <item x="51"/>
        <item x="14"/>
        <item x="92"/>
        <item x="25"/>
        <item x="41"/>
        <item x="74"/>
        <item x="88"/>
        <item x="118"/>
        <item x="46"/>
        <item x="71"/>
        <item x="79"/>
        <item x="111"/>
        <item x="28"/>
        <item x="126"/>
        <item x="76"/>
        <item x="38"/>
        <item x="67"/>
        <item x="69"/>
        <item x="117"/>
        <item x="81"/>
        <item x="108"/>
        <item x="90"/>
        <item x="31"/>
        <item x="53"/>
        <item x="94"/>
        <item x="44"/>
        <item x="129"/>
        <item x="48"/>
        <item x="22"/>
        <item x="9"/>
        <item x="86"/>
        <item x="96"/>
        <item x="29"/>
        <item x="72"/>
        <item x="45"/>
        <item x="13"/>
        <item x="23"/>
        <item x="87"/>
        <item x="104"/>
        <item x="8"/>
        <item x="34"/>
        <item x="17"/>
        <item x="3"/>
        <item x="59"/>
        <item x="43"/>
        <item x="16"/>
        <item x="124"/>
        <item x="21"/>
        <item x="109"/>
        <item x="123"/>
        <item x="116"/>
        <item x="98"/>
        <item x="55"/>
        <item x="115"/>
        <item x="61"/>
        <item x="35"/>
        <item x="113"/>
        <item x="1"/>
        <item x="99"/>
        <item x="125"/>
        <item x="33"/>
        <item x="2"/>
        <item x="97"/>
        <item x="56"/>
        <item x="105"/>
        <item x="83"/>
        <item x="49"/>
        <item x="114"/>
        <item x="5"/>
        <item x="100"/>
        <item x="20"/>
        <item x="130"/>
        <item x="10"/>
        <item x="52"/>
        <item t="default"/>
      </items>
    </pivotField>
    <pivotField dataField="1" showAll="0"/>
    <pivotField showAll="0">
      <items count="6">
        <item x="2"/>
        <item x="0"/>
        <item x="3"/>
        <item x="1"/>
        <item x="4"/>
        <item t="default"/>
      </items>
    </pivotField>
    <pivotField showAll="0"/>
    <pivotField axis="axisRow" showAll="0">
      <items count="6">
        <item x="1"/>
        <item x="2"/>
        <item x="0"/>
        <item x="3"/>
        <item x="4"/>
        <item t="default"/>
      </items>
    </pivotField>
  </pivotFields>
  <rowFields count="1">
    <field x="12"/>
  </rowFields>
  <rowItems count="6">
    <i>
      <x/>
    </i>
    <i>
      <x v="1"/>
    </i>
    <i>
      <x v="2"/>
    </i>
    <i>
      <x v="3"/>
    </i>
    <i>
      <x v="4"/>
    </i>
    <i t="grand">
      <x/>
    </i>
  </rowItems>
  <colItems count="1">
    <i/>
  </colItems>
  <dataFields count="1">
    <dataField name="Average of Perf_Score" fld="9" subtotal="average" baseField="12"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4B2D5-86E7-4B95-95F0-1A25297D60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2:P39" firstHeaderRow="1" firstDataRow="1" firstDataCol="0"/>
  <pivotFields count="13">
    <pivotField showAll="0"/>
    <pivotField showAll="0"/>
    <pivotField showAll="0"/>
    <pivotField showAll="0"/>
    <pivotField showAll="0"/>
    <pivotField showAll="0">
      <items count="7">
        <item x="2"/>
        <item x="5"/>
        <item x="0"/>
        <item x="1"/>
        <item x="3"/>
        <item x="4"/>
        <item t="default"/>
      </items>
    </pivotField>
    <pivotField showAll="0"/>
    <pivotField showAll="0">
      <items count="11">
        <item x="2"/>
        <item x="9"/>
        <item x="5"/>
        <item x="3"/>
        <item x="1"/>
        <item x="6"/>
        <item x="4"/>
        <item x="8"/>
        <item x="0"/>
        <item x="7"/>
        <item t="default"/>
      </items>
    </pivotField>
    <pivotField showAll="0"/>
    <pivotField showAll="0"/>
    <pivotField showAll="0">
      <items count="6">
        <item x="2"/>
        <item x="0"/>
        <item x="3"/>
        <item x="1"/>
        <item x="4"/>
        <item t="default"/>
      </items>
    </pivotField>
    <pivotField showAll="0"/>
    <pivotField showAll="0">
      <items count="6">
        <item x="1"/>
        <item x="2"/>
        <item x="0"/>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9245A97C-FCFB-4003-8C93-D14EABE61825}" sourceName="Department Name">
  <pivotTables>
    <pivotTable tabId="8" name="PivotTable4"/>
    <pivotTable tabId="8" name="PivotTable1"/>
    <pivotTable tabId="8" name="PivotTable2"/>
    <pivotTable tabId="8" name="PivotTable5"/>
    <pivotTable tabId="1" name="PivotTable3"/>
  </pivotTables>
  <data>
    <tabular pivotCacheId="1127024737">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17CAA417-3010-4869-970E-34927F1B0749}" sourceName="Employment Status">
  <pivotTables>
    <pivotTable tabId="8" name="PivotTable5"/>
    <pivotTable tabId="8" name="PivotTable1"/>
    <pivotTable tabId="8" name="PivotTable2"/>
    <pivotTable tabId="8" name="PivotTable4"/>
    <pivotTable tabId="1" name="PivotTable3"/>
  </pivotTables>
  <data>
    <tabular pivotCacheId="1127024737">
      <items count="5">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4E28D79D-2034-48DF-8F2C-65A244A3BF41}" sourceName="Performance Band">
  <pivotTables>
    <pivotTable tabId="8" name="PivotTable4"/>
    <pivotTable tabId="8" name="PivotTable1"/>
    <pivotTable tabId="8" name="PivotTable2"/>
    <pivotTable tabId="8" name="PivotTable5"/>
    <pivotTable tabId="1" name="PivotTable3"/>
  </pivotTables>
  <data>
    <tabular pivotCacheId="1127024737">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BA0704A3-77A9-458F-B5E5-A2C4F60813C6}" cache="Slicer_Department_Name" caption="Department " columnCount="3" rowHeight="234950"/>
  <slicer name="Employment Status" xr10:uid="{1DCFCD33-5C68-456A-ADF6-0ADCD42C28DB}" cache="Slicer_Employment_Status" caption="Status" columnCount="2" rowHeight="234950"/>
  <slicer name="Performance Band" xr10:uid="{41CBF113-363D-457E-B693-109F398344F1}" cache="Slicer_Performance_Band" caption="Performance Band"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E286-48E1-4689-B5A8-44D13017CD6F}">
  <dimension ref="A3:M21"/>
  <sheetViews>
    <sheetView workbookViewId="0">
      <selection activeCell="C4" sqref="C4"/>
    </sheetView>
  </sheetViews>
  <sheetFormatPr defaultRowHeight="14.4"/>
  <cols>
    <col min="1" max="1" width="20.77734375" bestFit="1" customWidth="1"/>
    <col min="2" max="2" width="14.88671875" bestFit="1" customWidth="1"/>
    <col min="3" max="3" width="15.77734375" bestFit="1" customWidth="1"/>
    <col min="4" max="5" width="12" bestFit="1" customWidth="1"/>
    <col min="6" max="6" width="9.44140625" bestFit="1" customWidth="1"/>
    <col min="7" max="7" width="19" bestFit="1" customWidth="1"/>
    <col min="8" max="8" width="26.77734375" bestFit="1" customWidth="1"/>
    <col min="9" max="9" width="5.6640625" bestFit="1" customWidth="1"/>
    <col min="10" max="10" width="7.109375" bestFit="1" customWidth="1"/>
    <col min="11" max="11" width="4.77734375" bestFit="1" customWidth="1"/>
    <col min="12" max="12" width="9.44140625" bestFit="1" customWidth="1"/>
    <col min="13" max="13" width="10.77734375" bestFit="1" customWidth="1"/>
    <col min="14" max="15" width="11.109375" bestFit="1" customWidth="1"/>
    <col min="16" max="16" width="7.88671875" bestFit="1" customWidth="1"/>
    <col min="17" max="19" width="10.109375" bestFit="1" customWidth="1"/>
    <col min="20" max="21" width="11.109375" bestFit="1" customWidth="1"/>
    <col min="22" max="22" width="10.109375" bestFit="1" customWidth="1"/>
    <col min="23" max="24" width="11.109375" bestFit="1" customWidth="1"/>
    <col min="25" max="26" width="10.109375" bestFit="1" customWidth="1"/>
    <col min="27" max="27" width="7.88671875" bestFit="1" customWidth="1"/>
    <col min="28" max="29" width="10.109375" bestFit="1" customWidth="1"/>
    <col min="30" max="30" width="7.88671875" bestFit="1" customWidth="1"/>
    <col min="31" max="31" width="11.109375" bestFit="1" customWidth="1"/>
    <col min="32" max="32" width="10.109375" bestFit="1" customWidth="1"/>
    <col min="33" max="33" width="11.109375" bestFit="1" customWidth="1"/>
    <col min="34" max="35" width="10.109375" bestFit="1" customWidth="1"/>
    <col min="36" max="36" width="7.88671875" bestFit="1" customWidth="1"/>
    <col min="37" max="41" width="10.109375" bestFit="1" customWidth="1"/>
    <col min="42" max="43" width="7.88671875" bestFit="1" customWidth="1"/>
    <col min="44" max="44" width="11.109375" bestFit="1" customWidth="1"/>
    <col min="45" max="46" width="10.109375" bestFit="1" customWidth="1"/>
    <col min="47" max="48" width="11.109375" bestFit="1" customWidth="1"/>
    <col min="49" max="49" width="10.109375" bestFit="1" customWidth="1"/>
    <col min="50" max="51" width="11.109375" bestFit="1" customWidth="1"/>
    <col min="52" max="53" width="10.109375" bestFit="1" customWidth="1"/>
    <col min="54" max="54" width="7.88671875" bestFit="1" customWidth="1"/>
    <col min="55" max="59" width="10.109375" bestFit="1" customWidth="1"/>
    <col min="60" max="61" width="11.109375" bestFit="1" customWidth="1"/>
    <col min="62" max="65" width="10.109375" bestFit="1" customWidth="1"/>
    <col min="66" max="66" width="7.88671875" bestFit="1" customWidth="1"/>
    <col min="67" max="67" width="10.109375" bestFit="1" customWidth="1"/>
    <col min="68" max="68" width="11.109375" bestFit="1" customWidth="1"/>
    <col min="69" max="73" width="10.109375" bestFit="1" customWidth="1"/>
    <col min="74" max="74" width="11.109375" bestFit="1" customWidth="1"/>
    <col min="75" max="75" width="7.88671875" bestFit="1" customWidth="1"/>
    <col min="76" max="76" width="11.109375" bestFit="1" customWidth="1"/>
    <col min="77" max="85" width="10.109375" bestFit="1" customWidth="1"/>
    <col min="86" max="86" width="11.109375" bestFit="1" customWidth="1"/>
    <col min="87" max="88" width="10.109375" bestFit="1" customWidth="1"/>
    <col min="89" max="89" width="7.88671875" bestFit="1" customWidth="1"/>
    <col min="90" max="90" width="11.109375" bestFit="1" customWidth="1"/>
    <col min="91" max="91" width="10.109375" bestFit="1" customWidth="1"/>
    <col min="92" max="92" width="7.88671875" bestFit="1" customWidth="1"/>
    <col min="93" max="95" width="10.109375" bestFit="1" customWidth="1"/>
    <col min="96" max="96" width="11.109375" bestFit="1" customWidth="1"/>
    <col min="97" max="100" width="10.109375" bestFit="1" customWidth="1"/>
    <col min="101" max="102" width="7.88671875" bestFit="1" customWidth="1"/>
    <col min="103" max="104" width="11.109375" bestFit="1" customWidth="1"/>
    <col min="105" max="106" width="10.109375" bestFit="1" customWidth="1"/>
    <col min="107" max="107" width="11.109375" bestFit="1" customWidth="1"/>
    <col min="108" max="109" width="10.109375" bestFit="1" customWidth="1"/>
    <col min="110" max="110" width="11.109375" bestFit="1" customWidth="1"/>
    <col min="111" max="116" width="10.109375" bestFit="1" customWidth="1"/>
    <col min="117" max="118" width="11.109375" bestFit="1" customWidth="1"/>
    <col min="119" max="119" width="10.109375" bestFit="1" customWidth="1"/>
    <col min="120" max="120" width="11.109375" bestFit="1" customWidth="1"/>
    <col min="121" max="121" width="7.88671875" bestFit="1" customWidth="1"/>
    <col min="122" max="122" width="10.109375" bestFit="1" customWidth="1"/>
    <col min="123" max="123" width="11.109375" bestFit="1" customWidth="1"/>
    <col min="124" max="124" width="10.109375" bestFit="1" customWidth="1"/>
    <col min="125" max="125" width="7.88671875" bestFit="1" customWidth="1"/>
    <col min="126" max="126" width="10.109375" bestFit="1" customWidth="1"/>
    <col min="127" max="127" width="11.109375" bestFit="1" customWidth="1"/>
    <col min="128" max="128" width="10.109375" bestFit="1" customWidth="1"/>
    <col min="129" max="129" width="7.88671875" bestFit="1" customWidth="1"/>
    <col min="130" max="134" width="10.109375" bestFit="1" customWidth="1"/>
    <col min="135" max="136" width="11.109375" bestFit="1" customWidth="1"/>
    <col min="137" max="138" width="10.109375" bestFit="1" customWidth="1"/>
    <col min="139" max="140" width="11.109375" bestFit="1" customWidth="1"/>
    <col min="141" max="144" width="10.109375" bestFit="1" customWidth="1"/>
    <col min="145" max="145" width="7.88671875" bestFit="1" customWidth="1"/>
    <col min="146" max="148" width="10.109375" bestFit="1" customWidth="1"/>
    <col min="149" max="149" width="7.88671875" bestFit="1" customWidth="1"/>
    <col min="150" max="150" width="10.109375" bestFit="1" customWidth="1"/>
    <col min="151" max="151" width="11.109375" bestFit="1" customWidth="1"/>
    <col min="152" max="152" width="10.77734375" bestFit="1" customWidth="1"/>
  </cols>
  <sheetData>
    <row r="3" spans="1:13">
      <c r="A3" s="7" t="s">
        <v>238</v>
      </c>
      <c r="B3" t="s">
        <v>231</v>
      </c>
      <c r="C3" t="s">
        <v>230</v>
      </c>
    </row>
    <row r="4" spans="1:13">
      <c r="A4" s="8" t="s">
        <v>199</v>
      </c>
      <c r="B4" s="18">
        <v>17</v>
      </c>
      <c r="C4" s="5">
        <v>72419.941176470587</v>
      </c>
      <c r="G4" s="7" t="s">
        <v>238</v>
      </c>
      <c r="H4" s="7" t="s">
        <v>235</v>
      </c>
    </row>
    <row r="5" spans="1:13">
      <c r="A5" s="8" t="s">
        <v>197</v>
      </c>
      <c r="B5" s="18">
        <v>18</v>
      </c>
      <c r="C5" s="5">
        <v>80891.611111111109</v>
      </c>
      <c r="G5" s="7" t="s">
        <v>228</v>
      </c>
      <c r="H5" t="s">
        <v>16</v>
      </c>
      <c r="I5" t="s">
        <v>247</v>
      </c>
      <c r="J5" t="s">
        <v>245</v>
      </c>
      <c r="K5" t="s">
        <v>248</v>
      </c>
      <c r="L5" t="s">
        <v>246</v>
      </c>
      <c r="M5" t="s">
        <v>229</v>
      </c>
    </row>
    <row r="6" spans="1:13">
      <c r="A6" s="8" t="s">
        <v>198</v>
      </c>
      <c r="B6" s="18">
        <v>36</v>
      </c>
      <c r="C6" s="5">
        <v>68901.166666666672</v>
      </c>
      <c r="G6" s="8" t="s">
        <v>199</v>
      </c>
      <c r="H6" s="18">
        <v>4</v>
      </c>
      <c r="I6" s="18">
        <v>2</v>
      </c>
      <c r="J6" s="18">
        <v>10</v>
      </c>
      <c r="K6" s="18">
        <v>1</v>
      </c>
      <c r="L6" s="18"/>
      <c r="M6" s="18">
        <v>17</v>
      </c>
    </row>
    <row r="7" spans="1:13">
      <c r="A7" s="8" t="s">
        <v>200</v>
      </c>
      <c r="B7" s="18">
        <v>19</v>
      </c>
      <c r="C7" s="5">
        <v>81007.736842105267</v>
      </c>
      <c r="G7" s="8" t="s">
        <v>197</v>
      </c>
      <c r="H7" s="18">
        <v>4</v>
      </c>
      <c r="I7" s="18">
        <v>2</v>
      </c>
      <c r="J7" s="18">
        <v>11</v>
      </c>
      <c r="K7" s="18"/>
      <c r="L7" s="18">
        <v>1</v>
      </c>
      <c r="M7" s="18">
        <v>18</v>
      </c>
    </row>
    <row r="8" spans="1:13">
      <c r="A8" s="8" t="s">
        <v>202</v>
      </c>
      <c r="B8" s="18">
        <v>29</v>
      </c>
      <c r="C8" s="5">
        <v>74284.137931034478</v>
      </c>
      <c r="G8" s="8" t="s">
        <v>198</v>
      </c>
      <c r="H8" s="18">
        <v>6</v>
      </c>
      <c r="I8" s="18">
        <v>2</v>
      </c>
      <c r="J8" s="18">
        <v>22</v>
      </c>
      <c r="K8" s="18">
        <v>4</v>
      </c>
      <c r="L8" s="18">
        <v>2</v>
      </c>
      <c r="M8" s="18">
        <v>36</v>
      </c>
    </row>
    <row r="9" spans="1:13">
      <c r="A9" s="8" t="s">
        <v>201</v>
      </c>
      <c r="B9" s="18">
        <v>31</v>
      </c>
      <c r="C9" s="5">
        <v>64757.870967741932</v>
      </c>
      <c r="G9" s="8" t="s">
        <v>200</v>
      </c>
      <c r="H9" s="18">
        <v>5</v>
      </c>
      <c r="I9" s="18"/>
      <c r="J9" s="18">
        <v>11</v>
      </c>
      <c r="K9" s="18">
        <v>3</v>
      </c>
      <c r="L9" s="18"/>
      <c r="M9" s="18">
        <v>19</v>
      </c>
    </row>
    <row r="10" spans="1:13">
      <c r="A10" s="8" t="s">
        <v>229</v>
      </c>
      <c r="B10" s="18">
        <v>150</v>
      </c>
      <c r="C10" s="5">
        <v>72456.740000000005</v>
      </c>
      <c r="G10" s="8" t="s">
        <v>202</v>
      </c>
      <c r="H10" s="18">
        <v>5</v>
      </c>
      <c r="I10" s="18">
        <v>2</v>
      </c>
      <c r="J10" s="18">
        <v>13</v>
      </c>
      <c r="K10" s="18">
        <v>4</v>
      </c>
      <c r="L10" s="18">
        <v>5</v>
      </c>
      <c r="M10" s="18">
        <v>29</v>
      </c>
    </row>
    <row r="11" spans="1:13">
      <c r="G11" s="8" t="s">
        <v>201</v>
      </c>
      <c r="H11" s="18">
        <v>5</v>
      </c>
      <c r="I11" s="18">
        <v>3</v>
      </c>
      <c r="J11" s="18">
        <v>20</v>
      </c>
      <c r="K11" s="18">
        <v>1</v>
      </c>
      <c r="L11" s="18">
        <v>2</v>
      </c>
      <c r="M11" s="18">
        <v>31</v>
      </c>
    </row>
    <row r="12" spans="1:13">
      <c r="G12" s="8" t="s">
        <v>229</v>
      </c>
      <c r="H12" s="18">
        <v>29</v>
      </c>
      <c r="I12" s="18">
        <v>11</v>
      </c>
      <c r="J12" s="18">
        <v>87</v>
      </c>
      <c r="K12" s="18">
        <v>13</v>
      </c>
      <c r="L12" s="18">
        <v>10</v>
      </c>
      <c r="M12" s="18">
        <v>150</v>
      </c>
    </row>
    <row r="15" spans="1:13">
      <c r="A15" s="7" t="s">
        <v>239</v>
      </c>
      <c r="B15" t="s">
        <v>236</v>
      </c>
      <c r="G15" s="7" t="s">
        <v>226</v>
      </c>
      <c r="H15" t="s">
        <v>237</v>
      </c>
    </row>
    <row r="16" spans="1:13">
      <c r="A16" s="8" t="s">
        <v>16</v>
      </c>
      <c r="B16" s="18">
        <v>53.241379310344826</v>
      </c>
      <c r="G16" s="8" t="s">
        <v>209</v>
      </c>
      <c r="H16" s="18">
        <v>144315.95000000001</v>
      </c>
    </row>
    <row r="17" spans="1:8">
      <c r="A17" s="8" t="s">
        <v>247</v>
      </c>
      <c r="B17" s="18">
        <v>64.36363636363636</v>
      </c>
      <c r="G17" s="8" t="s">
        <v>208</v>
      </c>
      <c r="H17" s="18">
        <v>58138.3</v>
      </c>
    </row>
    <row r="18" spans="1:8">
      <c r="A18" s="8" t="s">
        <v>245</v>
      </c>
      <c r="B18" s="18">
        <v>67.103448275862064</v>
      </c>
      <c r="G18" s="8" t="s">
        <v>210</v>
      </c>
      <c r="H18" s="18">
        <v>131312.80000000002</v>
      </c>
    </row>
    <row r="19" spans="1:8">
      <c r="A19" s="8" t="s">
        <v>248</v>
      </c>
      <c r="B19" s="18">
        <v>62.53846153846154</v>
      </c>
      <c r="G19" s="8" t="s">
        <v>207</v>
      </c>
      <c r="H19" s="18">
        <v>0</v>
      </c>
    </row>
    <row r="20" spans="1:8">
      <c r="A20" s="8" t="s">
        <v>246</v>
      </c>
      <c r="B20" s="18">
        <v>76.400000000000006</v>
      </c>
      <c r="G20" s="8" t="s">
        <v>211</v>
      </c>
      <c r="H20" s="18">
        <v>82379.040000000008</v>
      </c>
    </row>
    <row r="21" spans="1:8">
      <c r="A21" s="8" t="s">
        <v>229</v>
      </c>
      <c r="B21" s="18">
        <v>64.446666666666673</v>
      </c>
      <c r="G21" s="8" t="s">
        <v>229</v>
      </c>
      <c r="H21" s="18">
        <v>416146.09000000008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4D20-5553-47AB-86E5-B756B5DB06B2}">
  <dimension ref="A1:AE5"/>
  <sheetViews>
    <sheetView showGridLines="0" tabSelected="1" zoomScale="79" zoomScaleNormal="79" workbookViewId="0">
      <selection activeCell="X15" sqref="X15"/>
    </sheetView>
  </sheetViews>
  <sheetFormatPr defaultRowHeight="14.4"/>
  <cols>
    <col min="5" max="5" width="14.5546875" customWidth="1"/>
    <col min="8" max="8" width="12.109375" customWidth="1"/>
    <col min="9" max="9" width="12.6640625" customWidth="1"/>
  </cols>
  <sheetData>
    <row r="1" spans="1:31" ht="28.8">
      <c r="A1" s="41" t="s">
        <v>240</v>
      </c>
      <c r="B1" s="42"/>
      <c r="C1" s="42"/>
      <c r="D1" s="42"/>
      <c r="E1" s="42"/>
      <c r="F1" s="42"/>
      <c r="G1" s="42"/>
      <c r="H1" s="42"/>
      <c r="I1" s="42"/>
      <c r="J1" s="42"/>
      <c r="K1" s="42"/>
      <c r="L1" s="42"/>
      <c r="M1" s="42"/>
      <c r="N1" s="43"/>
    </row>
    <row r="2" spans="1:31" ht="28.8">
      <c r="A2" s="44" t="s">
        <v>249</v>
      </c>
      <c r="B2" s="44"/>
      <c r="C2" s="44"/>
      <c r="D2" s="44"/>
      <c r="E2" s="44"/>
      <c r="F2" s="44"/>
      <c r="G2" s="44"/>
      <c r="H2" s="44"/>
      <c r="I2" s="44"/>
      <c r="J2" s="44"/>
      <c r="K2" s="44"/>
      <c r="L2" s="44"/>
      <c r="M2" s="44"/>
      <c r="N2" s="45"/>
      <c r="R2" s="31"/>
      <c r="S2" s="32"/>
      <c r="T2" s="32"/>
      <c r="U2" s="32"/>
      <c r="V2" s="32"/>
      <c r="W2" s="32"/>
      <c r="X2" s="32"/>
      <c r="Y2" s="32"/>
      <c r="Z2" s="32"/>
      <c r="AA2" s="32"/>
      <c r="AB2" s="32"/>
      <c r="AC2" s="32"/>
      <c r="AD2" s="32"/>
      <c r="AE2" s="33"/>
    </row>
    <row r="3" spans="1:31" ht="15.6">
      <c r="A3" s="46"/>
      <c r="B3" s="35" t="s">
        <v>241</v>
      </c>
      <c r="C3" s="47"/>
      <c r="D3" s="48"/>
      <c r="E3" s="35" t="s">
        <v>242</v>
      </c>
      <c r="F3" s="47"/>
      <c r="G3" s="49"/>
      <c r="H3" s="50" t="s">
        <v>243</v>
      </c>
      <c r="I3" s="47"/>
      <c r="J3" s="49"/>
      <c r="K3" s="51" t="s">
        <v>244</v>
      </c>
      <c r="L3" s="47"/>
      <c r="M3" s="47"/>
      <c r="N3" s="48"/>
      <c r="R3" s="39"/>
      <c r="S3" s="39"/>
      <c r="T3" s="39"/>
      <c r="U3" s="39"/>
      <c r="V3" s="39"/>
      <c r="W3" s="39"/>
      <c r="X3" s="39"/>
      <c r="Y3" s="39"/>
      <c r="Z3" s="39"/>
      <c r="AA3" s="39"/>
      <c r="AB3" s="39"/>
      <c r="AC3" s="39"/>
      <c r="AD3" s="39"/>
      <c r="AE3" s="40"/>
    </row>
    <row r="4" spans="1:31" ht="23.4">
      <c r="A4" s="46"/>
      <c r="B4" s="21">
        <f>COUNTA(Raw_Employee_Data!A2:A151)</f>
        <v>150</v>
      </c>
      <c r="C4" s="52"/>
      <c r="D4" s="53"/>
      <c r="E4" s="54">
        <f>AVERAGE(Raw_Employee_Data!I2:I151)</f>
        <v>72456.740000000005</v>
      </c>
      <c r="F4" s="52"/>
      <c r="G4" s="55"/>
      <c r="H4" s="56">
        <f>(COUNTIF(Raw_Employee_Data!M2:M151,"Left")+COUNTIF(Raw_Employee_Data!M2:M151,"Resigned"))/COUNTA(Raw_Employee_Data!A2:A151)</f>
        <v>0.22666666666666666</v>
      </c>
      <c r="I4" s="52"/>
      <c r="J4" s="55"/>
      <c r="K4" s="57">
        <f>AVERAGE(Raw_Employee_Data!J:J)</f>
        <v>64.446666666666673</v>
      </c>
      <c r="L4" s="52"/>
      <c r="M4" s="52"/>
      <c r="N4" s="53"/>
      <c r="O4" s="34"/>
      <c r="S4" s="35"/>
      <c r="T4" s="19"/>
      <c r="U4" s="20"/>
      <c r="V4" s="36"/>
      <c r="W4" s="19"/>
      <c r="X4" s="29"/>
      <c r="Y4" s="37"/>
      <c r="Z4" s="19"/>
      <c r="AA4" s="29"/>
      <c r="AB4" s="38"/>
      <c r="AC4" s="28"/>
      <c r="AD4" s="19"/>
      <c r="AE4" s="20"/>
    </row>
    <row r="5" spans="1:31" ht="23.4">
      <c r="S5" s="21"/>
      <c r="T5" s="22"/>
      <c r="U5" s="23"/>
      <c r="V5" s="24"/>
      <c r="W5" s="22"/>
      <c r="X5" s="30"/>
      <c r="Y5" s="25"/>
      <c r="Z5" s="22"/>
      <c r="AA5" s="30"/>
      <c r="AB5" s="26"/>
      <c r="AC5" s="27"/>
      <c r="AD5" s="22"/>
      <c r="AE5" s="23"/>
    </row>
  </sheetData>
  <mergeCells count="4">
    <mergeCell ref="A1:N1"/>
    <mergeCell ref="A2:N2"/>
    <mergeCell ref="R2:AE2"/>
    <mergeCell ref="R3:AE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workbookViewId="0">
      <selection activeCell="H14" sqref="H14"/>
    </sheetView>
  </sheetViews>
  <sheetFormatPr defaultRowHeight="14.4"/>
  <cols>
    <col min="2" max="2" width="10.44140625" bestFit="1" customWidth="1"/>
    <col min="3" max="3" width="10.33203125" bestFit="1" customWidth="1"/>
    <col min="4" max="4" width="17.44140625" bestFit="1" customWidth="1"/>
    <col min="5" max="5" width="17.33203125" customWidth="1"/>
    <col min="6" max="6" width="20.77734375" bestFit="1" customWidth="1"/>
    <col min="7" max="7" width="18.109375" style="2" bestFit="1" customWidth="1"/>
    <col min="8" max="8" width="18.109375" style="2" customWidth="1"/>
    <col min="9" max="9" width="11" style="5" bestFit="1" customWidth="1"/>
    <col min="10" max="10" width="10.109375" bestFit="1" customWidth="1"/>
    <col min="11" max="11" width="16.77734375" bestFit="1" customWidth="1"/>
    <col min="12" max="12" width="20.109375" bestFit="1" customWidth="1"/>
    <col min="13" max="13" width="17.6640625" bestFit="1" customWidth="1"/>
    <col min="14" max="14" width="13.5546875" bestFit="1" customWidth="1"/>
    <col min="15" max="15" width="13.77734375" bestFit="1" customWidth="1"/>
    <col min="16" max="18" width="10.109375" bestFit="1" customWidth="1"/>
    <col min="19" max="19" width="7.88671875" bestFit="1" customWidth="1"/>
    <col min="20" max="20" width="10.109375" bestFit="1" customWidth="1"/>
    <col min="21" max="21" width="7.88671875" bestFit="1" customWidth="1"/>
    <col min="22" max="22" width="10.109375" bestFit="1" customWidth="1"/>
    <col min="23" max="23" width="11.109375" bestFit="1" customWidth="1"/>
    <col min="24" max="24" width="10.109375" bestFit="1" customWidth="1"/>
    <col min="25" max="25" width="11.109375" bestFit="1" customWidth="1"/>
    <col min="26" max="26" width="10.109375" bestFit="1" customWidth="1"/>
    <col min="27" max="28" width="11.109375" bestFit="1" customWidth="1"/>
    <col min="29" max="29" width="7.88671875" bestFit="1" customWidth="1"/>
    <col min="30" max="32" width="10.109375" bestFit="1" customWidth="1"/>
    <col min="33" max="34" width="11.109375" bestFit="1" customWidth="1"/>
    <col min="35" max="35" width="10.109375" bestFit="1" customWidth="1"/>
    <col min="36" max="37" width="11.109375" bestFit="1" customWidth="1"/>
    <col min="38" max="39" width="10.109375" bestFit="1" customWidth="1"/>
    <col min="40" max="40" width="7.88671875" bestFit="1" customWidth="1"/>
    <col min="41" max="42" width="10.109375" bestFit="1" customWidth="1"/>
    <col min="43" max="43" width="7.88671875" bestFit="1" customWidth="1"/>
    <col min="44" max="44" width="11.109375" bestFit="1" customWidth="1"/>
    <col min="45" max="45" width="10.109375" bestFit="1" customWidth="1"/>
    <col min="46" max="46" width="11.109375" bestFit="1" customWidth="1"/>
    <col min="47" max="48" width="10.109375" bestFit="1" customWidth="1"/>
    <col min="49" max="49" width="7.88671875" bestFit="1" customWidth="1"/>
    <col min="50" max="54" width="10.109375" bestFit="1" customWidth="1"/>
    <col min="55" max="56" width="7.88671875" bestFit="1" customWidth="1"/>
    <col min="57" max="57" width="11.109375" bestFit="1" customWidth="1"/>
    <col min="58" max="59" width="10.109375" bestFit="1" customWidth="1"/>
    <col min="60" max="61" width="11.109375" bestFit="1" customWidth="1"/>
    <col min="62" max="62" width="10.109375" bestFit="1" customWidth="1"/>
    <col min="63" max="64" width="11.109375" bestFit="1" customWidth="1"/>
    <col min="65" max="66" width="10.109375" bestFit="1" customWidth="1"/>
    <col min="67" max="67" width="7.88671875" bestFit="1" customWidth="1"/>
    <col min="68" max="72" width="10.109375" bestFit="1" customWidth="1"/>
    <col min="73" max="74" width="11.109375" bestFit="1" customWidth="1"/>
    <col min="75" max="78" width="10.109375" bestFit="1" customWidth="1"/>
    <col min="79" max="79" width="7.88671875" bestFit="1" customWidth="1"/>
    <col min="80" max="80" width="10.109375" bestFit="1" customWidth="1"/>
    <col min="81" max="81" width="11.109375" bestFit="1" customWidth="1"/>
    <col min="82" max="86" width="10.109375" bestFit="1" customWidth="1"/>
    <col min="87" max="87" width="11.109375" bestFit="1" customWidth="1"/>
    <col min="88" max="88" width="7.88671875" bestFit="1" customWidth="1"/>
    <col min="89" max="89" width="11.109375" bestFit="1" customWidth="1"/>
    <col min="90" max="98" width="10.109375" bestFit="1" customWidth="1"/>
    <col min="99" max="99" width="11.109375" bestFit="1" customWidth="1"/>
    <col min="100" max="101" width="10.109375" bestFit="1" customWidth="1"/>
    <col min="102" max="102" width="7.88671875" bestFit="1" customWidth="1"/>
    <col min="103" max="103" width="11.109375" bestFit="1" customWidth="1"/>
    <col min="104" max="104" width="10.109375" bestFit="1" customWidth="1"/>
    <col min="105" max="105" width="7.88671875" bestFit="1" customWidth="1"/>
    <col min="106" max="108" width="10.109375" bestFit="1" customWidth="1"/>
    <col min="109" max="109" width="11.109375" bestFit="1" customWidth="1"/>
    <col min="110" max="113" width="10.109375" bestFit="1" customWidth="1"/>
    <col min="114" max="115" width="7.88671875" bestFit="1" customWidth="1"/>
    <col min="116" max="117" width="11.109375" bestFit="1" customWidth="1"/>
    <col min="118" max="119" width="10.109375" bestFit="1" customWidth="1"/>
    <col min="120" max="120" width="11.109375" bestFit="1" customWidth="1"/>
    <col min="121" max="122" width="10.109375" bestFit="1" customWidth="1"/>
    <col min="123" max="123" width="11.109375" bestFit="1" customWidth="1"/>
    <col min="124" max="129" width="10.109375" bestFit="1" customWidth="1"/>
    <col min="130" max="131" width="11.109375" bestFit="1" customWidth="1"/>
    <col min="132" max="132" width="10.109375" bestFit="1" customWidth="1"/>
    <col min="133" max="133" width="11.109375" bestFit="1" customWidth="1"/>
    <col min="134" max="134" width="7.88671875" bestFit="1" customWidth="1"/>
    <col min="135" max="135" width="10.109375" bestFit="1" customWidth="1"/>
    <col min="136" max="136" width="11.109375" bestFit="1" customWidth="1"/>
    <col min="137" max="137" width="10.109375" bestFit="1" customWidth="1"/>
    <col min="138" max="138" width="7.88671875" bestFit="1" customWidth="1"/>
    <col min="139" max="139" width="10.109375" bestFit="1" customWidth="1"/>
    <col min="140" max="140" width="11.109375" bestFit="1" customWidth="1"/>
    <col min="141" max="141" width="10.109375" bestFit="1" customWidth="1"/>
    <col min="142" max="142" width="7.88671875" bestFit="1" customWidth="1"/>
    <col min="143" max="147" width="10.109375" bestFit="1" customWidth="1"/>
    <col min="148" max="149" width="11.109375" bestFit="1" customWidth="1"/>
    <col min="150" max="151" width="10.109375" bestFit="1" customWidth="1"/>
    <col min="152" max="153" width="11.109375" bestFit="1" customWidth="1"/>
    <col min="154" max="157" width="10.109375" bestFit="1" customWidth="1"/>
    <col min="158" max="158" width="7.88671875" bestFit="1" customWidth="1"/>
    <col min="159" max="161" width="10.109375" bestFit="1" customWidth="1"/>
    <col min="162" max="162" width="7.88671875" bestFit="1" customWidth="1"/>
    <col min="163" max="163" width="10.109375" bestFit="1" customWidth="1"/>
    <col min="164" max="164" width="11.109375" bestFit="1" customWidth="1"/>
    <col min="165" max="165" width="13.77734375" bestFit="1" customWidth="1"/>
  </cols>
  <sheetData>
    <row r="1" spans="1:13">
      <c r="A1" s="1" t="s">
        <v>0</v>
      </c>
      <c r="B1" s="1" t="s">
        <v>1</v>
      </c>
      <c r="C1" s="1" t="s">
        <v>2</v>
      </c>
      <c r="D1" s="1" t="s">
        <v>213</v>
      </c>
      <c r="E1" s="1" t="s">
        <v>3</v>
      </c>
      <c r="F1" s="1" t="s">
        <v>214</v>
      </c>
      <c r="G1" s="3" t="s">
        <v>4</v>
      </c>
      <c r="H1" s="3" t="s">
        <v>215</v>
      </c>
      <c r="I1" s="4" t="s">
        <v>5</v>
      </c>
      <c r="J1" s="1" t="s">
        <v>6</v>
      </c>
      <c r="K1" s="1" t="s">
        <v>226</v>
      </c>
      <c r="L1" s="1" t="s">
        <v>227</v>
      </c>
      <c r="M1" s="1" t="s">
        <v>7</v>
      </c>
    </row>
    <row r="2" spans="1:13">
      <c r="A2" t="s">
        <v>8</v>
      </c>
      <c r="B2" t="s">
        <v>9</v>
      </c>
      <c r="C2" t="s">
        <v>10</v>
      </c>
      <c r="D2" t="str">
        <f>TRIM(B2&amp; " "&amp;C2)</f>
        <v>Emily Brown</v>
      </c>
      <c r="E2" t="s">
        <v>11</v>
      </c>
      <c r="F2" t="str">
        <f>VLOOKUP(E2, Lookup_Departments!A:B, 2, FALSE)</f>
        <v>Information Technology</v>
      </c>
      <c r="G2" s="2">
        <v>43093</v>
      </c>
      <c r="H2" s="6" t="s">
        <v>216</v>
      </c>
      <c r="I2" s="5">
        <v>50361</v>
      </c>
      <c r="J2">
        <v>52</v>
      </c>
      <c r="K2" t="str">
        <f>_xlfn.IFS(J2&lt;=49,"Needs Improvement",J2&lt;=69,"Developing",J2&lt;=84,"Achieving",J2&lt;=94,"Exceeding",J2&lt;=100,"Outstanding")</f>
        <v>Developing</v>
      </c>
      <c r="L2">
        <f>IF(K2="Needs Improvement",0,
IF(K2="Developing",I2*0.02,
IF(K2="Achieving",I2*0.05,
IF(K2="Exceeding",I2*0.08,
IF(K2="Outstanding",I2*0.12,0)))))</f>
        <v>1007.22</v>
      </c>
      <c r="M2" t="s">
        <v>232</v>
      </c>
    </row>
    <row r="3" spans="1:13">
      <c r="A3" t="s">
        <v>12</v>
      </c>
      <c r="B3" t="s">
        <v>13</v>
      </c>
      <c r="C3" t="s">
        <v>14</v>
      </c>
      <c r="D3" t="str">
        <f t="shared" ref="D3:D66" si="0">TRIM(B3&amp; " "&amp;C3)</f>
        <v>Richard Hernandez</v>
      </c>
      <c r="E3" t="s">
        <v>15</v>
      </c>
      <c r="F3" t="str">
        <f>VLOOKUP(E3, Lookup_Departments!A:B, 2, FALSE)</f>
        <v>Marketing</v>
      </c>
      <c r="G3" s="2">
        <v>44659</v>
      </c>
      <c r="H3" s="6" t="s">
        <v>217</v>
      </c>
      <c r="I3" s="5">
        <v>112673</v>
      </c>
      <c r="J3">
        <v>0</v>
      </c>
      <c r="K3" t="str">
        <f t="shared" ref="K3:K66" si="1">_xlfn.IFS(J3&lt;=49,"Needs Improvement",J3&lt;=69,"Developing",J3&lt;=84,"Achieving",J3&lt;=94,"Exceeding",J3&lt;=100,"Outstanding")</f>
        <v>Needs Improvement</v>
      </c>
      <c r="L3">
        <f t="shared" ref="L3:L66" si="2">IF(K3="Needs Improvement",0,
IF(K3="Developing",I3*0.02,
IF(K3="Achieving",I3*0.05,
IF(K3="Exceeding",I3*0.08,
IF(K3="Outstanding",I3*0.12,0)))))</f>
        <v>0</v>
      </c>
      <c r="M3" t="s">
        <v>232</v>
      </c>
    </row>
    <row r="4" spans="1:13">
      <c r="A4" t="s">
        <v>17</v>
      </c>
      <c r="B4" t="s">
        <v>9</v>
      </c>
      <c r="C4" t="s">
        <v>18</v>
      </c>
      <c r="D4" t="str">
        <f t="shared" si="0"/>
        <v>Emily Gonzalez</v>
      </c>
      <c r="E4" t="s">
        <v>11</v>
      </c>
      <c r="F4" t="str">
        <f>VLOOKUP(E4, Lookup_Departments!A:B, 2, FALSE)</f>
        <v>Information Technology</v>
      </c>
      <c r="G4" s="2">
        <v>42431</v>
      </c>
      <c r="H4" s="6" t="s">
        <v>218</v>
      </c>
      <c r="I4" s="5">
        <v>114425</v>
      </c>
      <c r="J4">
        <v>54</v>
      </c>
      <c r="K4" t="str">
        <f t="shared" si="1"/>
        <v>Developing</v>
      </c>
      <c r="L4">
        <f t="shared" si="2"/>
        <v>2288.5</v>
      </c>
      <c r="M4" t="s">
        <v>233</v>
      </c>
    </row>
    <row r="5" spans="1:13">
      <c r="A5" t="s">
        <v>19</v>
      </c>
      <c r="B5" t="s">
        <v>20</v>
      </c>
      <c r="C5" t="s">
        <v>21</v>
      </c>
      <c r="D5" t="str">
        <f t="shared" si="0"/>
        <v>John Martinez</v>
      </c>
      <c r="E5" t="s">
        <v>22</v>
      </c>
      <c r="F5" t="str">
        <f>VLOOKUP(E5, Lookup_Departments!A:B, 2, FALSE)</f>
        <v>Finance</v>
      </c>
      <c r="G5" s="2">
        <v>45110</v>
      </c>
      <c r="H5" s="6" t="s">
        <v>219</v>
      </c>
      <c r="I5" s="5">
        <v>103831</v>
      </c>
      <c r="J5">
        <v>70</v>
      </c>
      <c r="K5" t="str">
        <f t="shared" si="1"/>
        <v>Achieving</v>
      </c>
      <c r="L5">
        <f t="shared" si="2"/>
        <v>5191.55</v>
      </c>
      <c r="M5" t="s">
        <v>232</v>
      </c>
    </row>
    <row r="6" spans="1:13">
      <c r="A6" t="s">
        <v>23</v>
      </c>
      <c r="B6" t="s">
        <v>24</v>
      </c>
      <c r="C6" t="s">
        <v>25</v>
      </c>
      <c r="D6" t="str">
        <f t="shared" si="0"/>
        <v>Thomas Smith</v>
      </c>
      <c r="E6" t="s">
        <v>11</v>
      </c>
      <c r="F6" t="str">
        <f>VLOOKUP(E6, Lookup_Departments!A:B, 2, FALSE)</f>
        <v>Information Technology</v>
      </c>
      <c r="G6" s="2">
        <v>44977</v>
      </c>
      <c r="H6" s="6" t="s">
        <v>219</v>
      </c>
      <c r="I6" s="5">
        <v>73785</v>
      </c>
      <c r="J6">
        <v>40</v>
      </c>
      <c r="K6" t="str">
        <f t="shared" si="1"/>
        <v>Needs Improvement</v>
      </c>
      <c r="L6">
        <f t="shared" si="2"/>
        <v>0</v>
      </c>
      <c r="M6" t="s">
        <v>233</v>
      </c>
    </row>
    <row r="7" spans="1:13">
      <c r="A7" t="s">
        <v>26</v>
      </c>
      <c r="B7" t="s">
        <v>9</v>
      </c>
      <c r="C7" t="s">
        <v>27</v>
      </c>
      <c r="D7" t="str">
        <f t="shared" si="0"/>
        <v>Emily Johnson</v>
      </c>
      <c r="E7" t="s">
        <v>28</v>
      </c>
      <c r="F7" t="str">
        <f>VLOOKUP(E7, Lookup_Departments!A:B, 2, FALSE)</f>
        <v>Operations</v>
      </c>
      <c r="G7" s="2">
        <v>43892</v>
      </c>
      <c r="H7" s="6" t="s">
        <v>220</v>
      </c>
      <c r="I7" s="5">
        <v>115882</v>
      </c>
      <c r="J7">
        <v>49</v>
      </c>
      <c r="K7" t="str">
        <f t="shared" si="1"/>
        <v>Needs Improvement</v>
      </c>
      <c r="L7">
        <f t="shared" si="2"/>
        <v>0</v>
      </c>
      <c r="M7" t="s">
        <v>232</v>
      </c>
    </row>
    <row r="8" spans="1:13">
      <c r="A8" t="s">
        <v>29</v>
      </c>
      <c r="B8" t="s">
        <v>20</v>
      </c>
      <c r="C8" t="s">
        <v>30</v>
      </c>
      <c r="D8" t="str">
        <f t="shared" si="0"/>
        <v>John Wilson</v>
      </c>
      <c r="E8" t="s">
        <v>28</v>
      </c>
      <c r="F8" t="str">
        <f>VLOOKUP(E8, Lookup_Departments!A:B, 2, FALSE)</f>
        <v>Operations</v>
      </c>
      <c r="G8" s="2">
        <v>45272</v>
      </c>
      <c r="H8" s="6" t="s">
        <v>221</v>
      </c>
      <c r="I8" s="5">
        <v>59980</v>
      </c>
      <c r="J8">
        <v>70</v>
      </c>
      <c r="K8" t="str">
        <f t="shared" si="1"/>
        <v>Achieving</v>
      </c>
      <c r="L8">
        <f t="shared" si="2"/>
        <v>2999</v>
      </c>
      <c r="M8" t="s">
        <v>233</v>
      </c>
    </row>
    <row r="9" spans="1:13">
      <c r="A9" t="s">
        <v>31</v>
      </c>
      <c r="B9" t="s">
        <v>32</v>
      </c>
      <c r="C9" t="s">
        <v>25</v>
      </c>
      <c r="D9" t="str">
        <f t="shared" si="0"/>
        <v>Jessica Smith</v>
      </c>
      <c r="E9" t="s">
        <v>28</v>
      </c>
      <c r="F9" t="str">
        <f>VLOOKUP(E9, Lookup_Departments!A:B, 2, FALSE)</f>
        <v>Operations</v>
      </c>
      <c r="G9" s="2">
        <v>44174</v>
      </c>
      <c r="H9" s="6" t="s">
        <v>222</v>
      </c>
      <c r="I9" s="5">
        <v>68728</v>
      </c>
      <c r="J9">
        <v>45</v>
      </c>
      <c r="K9" t="str">
        <f t="shared" si="1"/>
        <v>Needs Improvement</v>
      </c>
      <c r="L9">
        <f t="shared" si="2"/>
        <v>0</v>
      </c>
      <c r="M9" t="s">
        <v>232</v>
      </c>
    </row>
    <row r="10" spans="1:13">
      <c r="A10" t="s">
        <v>33</v>
      </c>
      <c r="B10" t="s">
        <v>212</v>
      </c>
      <c r="C10" t="s">
        <v>34</v>
      </c>
      <c r="D10" t="str">
        <f t="shared" si="0"/>
        <v>Unknown Rodriguez</v>
      </c>
      <c r="E10" t="s">
        <v>22</v>
      </c>
      <c r="F10" t="str">
        <f>VLOOKUP(E10, Lookup_Departments!A:B, 2, FALSE)</f>
        <v>Finance</v>
      </c>
      <c r="G10" s="2">
        <v>43107</v>
      </c>
      <c r="H10" s="6" t="s">
        <v>216</v>
      </c>
      <c r="I10" s="5">
        <v>102139</v>
      </c>
      <c r="J10">
        <v>79</v>
      </c>
      <c r="K10" t="str">
        <f t="shared" si="1"/>
        <v>Achieving</v>
      </c>
      <c r="L10">
        <f t="shared" si="2"/>
        <v>5106.9500000000007</v>
      </c>
      <c r="M10" t="s">
        <v>232</v>
      </c>
    </row>
    <row r="11" spans="1:13">
      <c r="A11" t="s">
        <v>35</v>
      </c>
      <c r="B11" t="s">
        <v>36</v>
      </c>
      <c r="C11" t="s">
        <v>21</v>
      </c>
      <c r="D11" t="str">
        <f t="shared" si="0"/>
        <v>Michael Martinez</v>
      </c>
      <c r="E11" t="s">
        <v>37</v>
      </c>
      <c r="F11" t="str">
        <f>VLOOKUP(E11, Lookup_Departments!A:B, 2, FALSE)</f>
        <v>Sales</v>
      </c>
      <c r="G11" s="2">
        <v>42676</v>
      </c>
      <c r="H11" s="6" t="s">
        <v>223</v>
      </c>
      <c r="I11" s="5">
        <v>94998</v>
      </c>
      <c r="J11">
        <v>58</v>
      </c>
      <c r="K11" t="str">
        <f t="shared" si="1"/>
        <v>Developing</v>
      </c>
      <c r="L11">
        <f t="shared" si="2"/>
        <v>1899.96</v>
      </c>
      <c r="M11" t="s">
        <v>232</v>
      </c>
    </row>
    <row r="12" spans="1:13">
      <c r="A12" t="s">
        <v>38</v>
      </c>
      <c r="B12" t="s">
        <v>9</v>
      </c>
      <c r="C12" t="s">
        <v>39</v>
      </c>
      <c r="D12" t="str">
        <f t="shared" si="0"/>
        <v>Emily Miller</v>
      </c>
      <c r="E12" t="s">
        <v>37</v>
      </c>
      <c r="F12" t="str">
        <f>VLOOKUP(E12, Lookup_Departments!A:B, 2, FALSE)</f>
        <v>Sales</v>
      </c>
      <c r="G12" s="2">
        <v>43911</v>
      </c>
      <c r="H12" s="6" t="s">
        <v>220</v>
      </c>
      <c r="I12" s="5">
        <v>118635</v>
      </c>
      <c r="J12">
        <v>49</v>
      </c>
      <c r="K12" t="str">
        <f t="shared" si="1"/>
        <v>Needs Improvement</v>
      </c>
      <c r="L12">
        <f t="shared" si="2"/>
        <v>0</v>
      </c>
      <c r="M12" t="s">
        <v>232</v>
      </c>
    </row>
    <row r="13" spans="1:13">
      <c r="A13" t="s">
        <v>40</v>
      </c>
      <c r="B13" t="s">
        <v>9</v>
      </c>
      <c r="C13" t="s">
        <v>14</v>
      </c>
      <c r="D13" t="str">
        <f t="shared" si="0"/>
        <v>Emily Hernandez</v>
      </c>
      <c r="E13" t="s">
        <v>11</v>
      </c>
      <c r="F13" t="str">
        <f>VLOOKUP(E13, Lookup_Departments!A:B, 2, FALSE)</f>
        <v>Information Technology</v>
      </c>
      <c r="G13" s="2">
        <v>42425</v>
      </c>
      <c r="H13" s="6" t="s">
        <v>218</v>
      </c>
      <c r="I13" s="5">
        <v>76918</v>
      </c>
      <c r="J13">
        <v>62</v>
      </c>
      <c r="K13" t="str">
        <f t="shared" si="1"/>
        <v>Developing</v>
      </c>
      <c r="L13">
        <f t="shared" si="2"/>
        <v>1538.3600000000001</v>
      </c>
      <c r="M13" t="s">
        <v>232</v>
      </c>
    </row>
    <row r="14" spans="1:13">
      <c r="A14" t="s">
        <v>41</v>
      </c>
      <c r="B14" t="s">
        <v>42</v>
      </c>
      <c r="C14" t="s">
        <v>43</v>
      </c>
      <c r="D14" t="str">
        <f t="shared" si="0"/>
        <v>Jane Williams</v>
      </c>
      <c r="E14" t="s">
        <v>15</v>
      </c>
      <c r="F14" t="str">
        <f>VLOOKUP(E14, Lookup_Departments!A:B, 2, FALSE)</f>
        <v>Marketing</v>
      </c>
      <c r="G14" s="2">
        <v>44364</v>
      </c>
      <c r="H14" s="6" t="s">
        <v>222</v>
      </c>
      <c r="I14" s="5">
        <v>61408</v>
      </c>
      <c r="J14">
        <v>48</v>
      </c>
      <c r="K14" t="str">
        <f t="shared" si="1"/>
        <v>Needs Improvement</v>
      </c>
      <c r="L14">
        <f t="shared" si="2"/>
        <v>0</v>
      </c>
      <c r="M14" t="s">
        <v>232</v>
      </c>
    </row>
    <row r="15" spans="1:13">
      <c r="A15" t="s">
        <v>44</v>
      </c>
      <c r="B15" t="s">
        <v>42</v>
      </c>
      <c r="C15" t="s">
        <v>39</v>
      </c>
      <c r="D15" t="str">
        <f t="shared" si="0"/>
        <v>Jane Miller</v>
      </c>
      <c r="E15" t="s">
        <v>15</v>
      </c>
      <c r="F15" t="str">
        <f>VLOOKUP(E15, Lookup_Departments!A:B, 2, FALSE)</f>
        <v>Marketing</v>
      </c>
      <c r="G15" s="2">
        <v>44001</v>
      </c>
      <c r="H15" s="6" t="s">
        <v>220</v>
      </c>
      <c r="I15" s="5">
        <v>99990</v>
      </c>
      <c r="J15">
        <v>54</v>
      </c>
      <c r="K15" t="str">
        <f t="shared" si="1"/>
        <v>Developing</v>
      </c>
      <c r="L15">
        <f t="shared" si="2"/>
        <v>1999.8</v>
      </c>
      <c r="M15" t="s">
        <v>232</v>
      </c>
    </row>
    <row r="16" spans="1:13">
      <c r="A16" t="s">
        <v>45</v>
      </c>
      <c r="B16" t="s">
        <v>46</v>
      </c>
      <c r="C16" t="s">
        <v>47</v>
      </c>
      <c r="D16" t="str">
        <f t="shared" si="0"/>
        <v>Robert Jones</v>
      </c>
      <c r="E16" t="s">
        <v>15</v>
      </c>
      <c r="F16" t="str">
        <f>VLOOKUP(E16, Lookup_Departments!A:B, 2, FALSE)</f>
        <v>Marketing</v>
      </c>
      <c r="G16" s="2">
        <v>43820</v>
      </c>
      <c r="H16" s="6" t="s">
        <v>220</v>
      </c>
      <c r="I16" s="5">
        <v>80385</v>
      </c>
      <c r="J16">
        <v>0</v>
      </c>
      <c r="K16" t="str">
        <f t="shared" si="1"/>
        <v>Needs Improvement</v>
      </c>
      <c r="L16">
        <f t="shared" si="2"/>
        <v>0</v>
      </c>
      <c r="M16" t="s">
        <v>232</v>
      </c>
    </row>
    <row r="17" spans="1:16">
      <c r="A17" t="s">
        <v>48</v>
      </c>
      <c r="B17" t="s">
        <v>24</v>
      </c>
      <c r="C17" t="s">
        <v>34</v>
      </c>
      <c r="D17" t="str">
        <f t="shared" si="0"/>
        <v>Thomas Rodriguez</v>
      </c>
      <c r="E17" t="s">
        <v>37</v>
      </c>
      <c r="F17" t="str">
        <f>VLOOKUP(E17, Lookup_Departments!A:B, 2, FALSE)</f>
        <v>Sales</v>
      </c>
      <c r="G17" s="2">
        <v>45169</v>
      </c>
      <c r="H17" s="6" t="s">
        <v>221</v>
      </c>
      <c r="I17" s="5">
        <v>65290</v>
      </c>
      <c r="J17">
        <v>77</v>
      </c>
      <c r="K17" t="str">
        <f t="shared" si="1"/>
        <v>Achieving</v>
      </c>
      <c r="L17">
        <f t="shared" si="2"/>
        <v>3264.5</v>
      </c>
      <c r="M17" t="s">
        <v>232</v>
      </c>
      <c r="O17">
        <v>1</v>
      </c>
    </row>
    <row r="18" spans="1:16">
      <c r="A18" t="s">
        <v>49</v>
      </c>
      <c r="B18" t="s">
        <v>9</v>
      </c>
      <c r="C18" t="s">
        <v>50</v>
      </c>
      <c r="D18" t="str">
        <f t="shared" si="0"/>
        <v>Emily Davis</v>
      </c>
      <c r="E18" t="s">
        <v>11</v>
      </c>
      <c r="F18" t="str">
        <f>VLOOKUP(E18, Lookup_Departments!A:B, 2, FALSE)</f>
        <v>Information Technology</v>
      </c>
      <c r="G18" s="2">
        <v>42337</v>
      </c>
      <c r="H18" s="6" t="s">
        <v>218</v>
      </c>
      <c r="I18" s="5">
        <v>105765</v>
      </c>
      <c r="J18">
        <v>42</v>
      </c>
      <c r="K18" t="str">
        <f t="shared" si="1"/>
        <v>Needs Improvement</v>
      </c>
      <c r="L18">
        <f t="shared" si="2"/>
        <v>0</v>
      </c>
      <c r="M18" t="s">
        <v>232</v>
      </c>
    </row>
    <row r="19" spans="1:16">
      <c r="A19" t="s">
        <v>51</v>
      </c>
      <c r="B19" t="s">
        <v>52</v>
      </c>
      <c r="C19" t="s">
        <v>21</v>
      </c>
      <c r="D19" t="str">
        <f t="shared" si="0"/>
        <v>James Martinez</v>
      </c>
      <c r="E19" t="s">
        <v>37</v>
      </c>
      <c r="F19" t="str">
        <f>VLOOKUP(E19, Lookup_Departments!A:B, 2, FALSE)</f>
        <v>Sales</v>
      </c>
      <c r="G19" s="2">
        <v>42899</v>
      </c>
      <c r="H19" s="6" t="s">
        <v>223</v>
      </c>
      <c r="I19" s="5">
        <v>102921</v>
      </c>
      <c r="J19">
        <v>49</v>
      </c>
      <c r="K19" t="str">
        <f t="shared" si="1"/>
        <v>Needs Improvement</v>
      </c>
      <c r="L19">
        <f t="shared" si="2"/>
        <v>0</v>
      </c>
      <c r="M19" t="s">
        <v>232</v>
      </c>
    </row>
    <row r="20" spans="1:16">
      <c r="A20" t="s">
        <v>53</v>
      </c>
      <c r="B20" t="s">
        <v>54</v>
      </c>
      <c r="C20" t="s">
        <v>55</v>
      </c>
      <c r="D20" t="str">
        <f t="shared" si="0"/>
        <v>Ashley Lopez</v>
      </c>
      <c r="E20" t="s">
        <v>15</v>
      </c>
      <c r="F20" t="str">
        <f>VLOOKUP(E20, Lookup_Departments!A:B, 2, FALSE)</f>
        <v>Marketing</v>
      </c>
      <c r="G20" s="2">
        <v>43235</v>
      </c>
      <c r="H20" s="6" t="s">
        <v>216</v>
      </c>
      <c r="I20" s="5">
        <v>73984</v>
      </c>
      <c r="J20">
        <v>93</v>
      </c>
      <c r="K20" t="str">
        <f t="shared" si="1"/>
        <v>Exceeding</v>
      </c>
      <c r="L20">
        <f t="shared" si="2"/>
        <v>5918.72</v>
      </c>
      <c r="M20" t="s">
        <v>232</v>
      </c>
    </row>
    <row r="21" spans="1:16">
      <c r="A21" t="s">
        <v>56</v>
      </c>
      <c r="B21" t="s">
        <v>57</v>
      </c>
      <c r="C21" t="s">
        <v>18</v>
      </c>
      <c r="D21" t="str">
        <f t="shared" si="0"/>
        <v>Amanda Gonzalez</v>
      </c>
      <c r="E21" t="s">
        <v>11</v>
      </c>
      <c r="F21" t="str">
        <f>VLOOKUP(E21, Lookup_Departments!A:B, 2, FALSE)</f>
        <v>Information Technology</v>
      </c>
      <c r="G21" s="2">
        <v>42575</v>
      </c>
      <c r="H21" s="6" t="s">
        <v>223</v>
      </c>
      <c r="I21" s="5">
        <v>0</v>
      </c>
      <c r="J21">
        <v>75</v>
      </c>
      <c r="K21" t="str">
        <f t="shared" si="1"/>
        <v>Achieving</v>
      </c>
      <c r="L21">
        <f t="shared" si="2"/>
        <v>0</v>
      </c>
      <c r="M21" t="s">
        <v>232</v>
      </c>
    </row>
    <row r="22" spans="1:16">
      <c r="A22" t="s">
        <v>58</v>
      </c>
      <c r="B22" t="s">
        <v>36</v>
      </c>
      <c r="C22" t="s">
        <v>14</v>
      </c>
      <c r="D22" t="str">
        <f t="shared" si="0"/>
        <v>Michael Hernandez</v>
      </c>
      <c r="E22" t="s">
        <v>22</v>
      </c>
      <c r="F22" t="str">
        <f>VLOOKUP(E22, Lookup_Departments!A:B, 2, FALSE)</f>
        <v>Finance</v>
      </c>
      <c r="G22" s="2">
        <v>43076</v>
      </c>
      <c r="H22" s="6" t="s">
        <v>216</v>
      </c>
      <c r="I22" s="5">
        <v>118527</v>
      </c>
      <c r="J22">
        <v>50</v>
      </c>
      <c r="K22" t="str">
        <f t="shared" si="1"/>
        <v>Developing</v>
      </c>
      <c r="L22">
        <f t="shared" si="2"/>
        <v>2370.54</v>
      </c>
      <c r="M22" t="s">
        <v>232</v>
      </c>
      <c r="N22" s="9"/>
      <c r="O22" s="10"/>
      <c r="P22" s="11"/>
    </row>
    <row r="23" spans="1:16">
      <c r="A23" t="s">
        <v>59</v>
      </c>
      <c r="B23" t="s">
        <v>13</v>
      </c>
      <c r="C23" t="s">
        <v>14</v>
      </c>
      <c r="D23" t="str">
        <f t="shared" si="0"/>
        <v>Richard Hernandez</v>
      </c>
      <c r="E23" t="s">
        <v>15</v>
      </c>
      <c r="F23" t="str">
        <f>VLOOKUP(E23, Lookup_Departments!A:B, 2, FALSE)</f>
        <v>Marketing</v>
      </c>
      <c r="G23" s="2">
        <v>44353</v>
      </c>
      <c r="H23" s="6" t="s">
        <v>222</v>
      </c>
      <c r="I23" s="5">
        <v>107871</v>
      </c>
      <c r="J23">
        <v>88</v>
      </c>
      <c r="K23" t="str">
        <f t="shared" si="1"/>
        <v>Exceeding</v>
      </c>
      <c r="L23">
        <f t="shared" si="2"/>
        <v>8629.68</v>
      </c>
      <c r="M23" t="s">
        <v>232</v>
      </c>
      <c r="N23" s="12"/>
      <c r="O23" s="13"/>
      <c r="P23" s="14"/>
    </row>
    <row r="24" spans="1:16">
      <c r="A24" t="s">
        <v>60</v>
      </c>
      <c r="B24" t="s">
        <v>36</v>
      </c>
      <c r="C24" t="s">
        <v>34</v>
      </c>
      <c r="D24" t="str">
        <f t="shared" si="0"/>
        <v>Michael Rodriguez</v>
      </c>
      <c r="E24" t="s">
        <v>11</v>
      </c>
      <c r="F24" t="str">
        <f>VLOOKUP(E24, Lookup_Departments!A:B, 2, FALSE)</f>
        <v>Information Technology</v>
      </c>
      <c r="G24" s="2">
        <v>44815</v>
      </c>
      <c r="H24" s="6" t="s">
        <v>219</v>
      </c>
      <c r="I24" s="5">
        <v>93956</v>
      </c>
      <c r="J24">
        <v>50</v>
      </c>
      <c r="K24" t="str">
        <f t="shared" si="1"/>
        <v>Developing</v>
      </c>
      <c r="L24">
        <f t="shared" si="2"/>
        <v>1879.1200000000001</v>
      </c>
      <c r="M24" t="s">
        <v>233</v>
      </c>
      <c r="N24" s="12"/>
      <c r="O24" s="13"/>
      <c r="P24" s="14"/>
    </row>
    <row r="25" spans="1:16">
      <c r="A25" t="s">
        <v>61</v>
      </c>
      <c r="B25" t="s">
        <v>32</v>
      </c>
      <c r="C25" t="s">
        <v>27</v>
      </c>
      <c r="D25" t="str">
        <f t="shared" si="0"/>
        <v>Jessica Johnson</v>
      </c>
      <c r="E25" t="s">
        <v>22</v>
      </c>
      <c r="F25" t="str">
        <f>VLOOKUP(E25, Lookup_Departments!A:B, 2, FALSE)</f>
        <v>Finance</v>
      </c>
      <c r="G25" s="2">
        <v>42565</v>
      </c>
      <c r="H25" s="6" t="s">
        <v>223</v>
      </c>
      <c r="I25" s="5">
        <v>100851</v>
      </c>
      <c r="J25">
        <v>64</v>
      </c>
      <c r="K25" t="str">
        <f t="shared" si="1"/>
        <v>Developing</v>
      </c>
      <c r="L25">
        <f t="shared" si="2"/>
        <v>2017.02</v>
      </c>
      <c r="M25" t="s">
        <v>232</v>
      </c>
      <c r="N25" s="12"/>
      <c r="O25" s="13"/>
      <c r="P25" s="14"/>
    </row>
    <row r="26" spans="1:16">
      <c r="A26" t="s">
        <v>62</v>
      </c>
      <c r="B26" t="s">
        <v>54</v>
      </c>
      <c r="C26" t="s">
        <v>43</v>
      </c>
      <c r="D26" t="str">
        <f t="shared" si="0"/>
        <v>Ashley Williams</v>
      </c>
      <c r="E26" t="s">
        <v>37</v>
      </c>
      <c r="F26" t="str">
        <f>VLOOKUP(E26, Lookup_Departments!A:B, 2, FALSE)</f>
        <v>Sales</v>
      </c>
      <c r="G26" s="2">
        <v>44728</v>
      </c>
      <c r="H26" s="6" t="s">
        <v>217</v>
      </c>
      <c r="I26" s="5">
        <v>68655</v>
      </c>
      <c r="J26">
        <v>32</v>
      </c>
      <c r="K26" t="str">
        <f t="shared" si="1"/>
        <v>Needs Improvement</v>
      </c>
      <c r="L26">
        <f t="shared" si="2"/>
        <v>0</v>
      </c>
      <c r="M26" t="s">
        <v>232</v>
      </c>
      <c r="N26" s="12"/>
      <c r="O26" s="13"/>
      <c r="P26" s="14"/>
    </row>
    <row r="27" spans="1:16">
      <c r="A27" t="s">
        <v>63</v>
      </c>
      <c r="B27" t="s">
        <v>212</v>
      </c>
      <c r="C27" t="s">
        <v>43</v>
      </c>
      <c r="D27" t="str">
        <f t="shared" si="0"/>
        <v>Unknown Williams</v>
      </c>
      <c r="E27" t="s">
        <v>37</v>
      </c>
      <c r="F27" t="str">
        <f>VLOOKUP(E27, Lookup_Departments!A:B, 2, FALSE)</f>
        <v>Sales</v>
      </c>
      <c r="G27" s="2">
        <v>45134</v>
      </c>
      <c r="H27" s="6" t="s">
        <v>221</v>
      </c>
      <c r="I27" s="5">
        <v>81205</v>
      </c>
      <c r="J27">
        <v>59</v>
      </c>
      <c r="K27" t="str">
        <f t="shared" si="1"/>
        <v>Developing</v>
      </c>
      <c r="L27">
        <f t="shared" si="2"/>
        <v>1624.1000000000001</v>
      </c>
      <c r="M27" t="s">
        <v>232</v>
      </c>
      <c r="N27" s="12"/>
      <c r="O27" s="13"/>
      <c r="P27" s="14"/>
    </row>
    <row r="28" spans="1:16">
      <c r="A28" t="s">
        <v>64</v>
      </c>
      <c r="B28" t="s">
        <v>20</v>
      </c>
      <c r="C28" t="s">
        <v>30</v>
      </c>
      <c r="D28" t="str">
        <f t="shared" si="0"/>
        <v>John Wilson</v>
      </c>
      <c r="E28" t="s">
        <v>37</v>
      </c>
      <c r="F28" t="str">
        <f>VLOOKUP(E28, Lookup_Departments!A:B, 2, FALSE)</f>
        <v>Sales</v>
      </c>
      <c r="G28" s="2">
        <v>43732</v>
      </c>
      <c r="H28" s="6" t="s">
        <v>220</v>
      </c>
      <c r="I28" s="5">
        <v>77610</v>
      </c>
      <c r="J28">
        <v>88</v>
      </c>
      <c r="K28" t="str">
        <f t="shared" si="1"/>
        <v>Exceeding</v>
      </c>
      <c r="L28">
        <f t="shared" si="2"/>
        <v>6208.8</v>
      </c>
      <c r="M28" t="s">
        <v>232</v>
      </c>
      <c r="N28" s="12"/>
      <c r="O28" s="13"/>
      <c r="P28" s="14"/>
    </row>
    <row r="29" spans="1:16">
      <c r="A29" t="s">
        <v>65</v>
      </c>
      <c r="B29" t="s">
        <v>24</v>
      </c>
      <c r="C29" t="s">
        <v>34</v>
      </c>
      <c r="D29" t="str">
        <f t="shared" si="0"/>
        <v>Thomas Rodriguez</v>
      </c>
      <c r="E29" t="s">
        <v>11</v>
      </c>
      <c r="F29" t="str">
        <f>VLOOKUP(E29, Lookup_Departments!A:B, 2, FALSE)</f>
        <v>Information Technology</v>
      </c>
      <c r="G29" s="2">
        <v>44765</v>
      </c>
      <c r="H29" s="6" t="s">
        <v>219</v>
      </c>
      <c r="I29" s="5">
        <v>50873</v>
      </c>
      <c r="J29">
        <v>90</v>
      </c>
      <c r="K29" t="str">
        <f t="shared" si="1"/>
        <v>Exceeding</v>
      </c>
      <c r="L29">
        <f t="shared" si="2"/>
        <v>4069.84</v>
      </c>
      <c r="M29" t="s">
        <v>232</v>
      </c>
      <c r="N29" s="12"/>
      <c r="O29" s="13"/>
      <c r="P29" s="14"/>
    </row>
    <row r="30" spans="1:16">
      <c r="A30" t="s">
        <v>66</v>
      </c>
      <c r="B30" t="s">
        <v>36</v>
      </c>
      <c r="C30" t="s">
        <v>30</v>
      </c>
      <c r="D30" t="str">
        <f t="shared" si="0"/>
        <v>Michael Wilson</v>
      </c>
      <c r="E30" t="s">
        <v>22</v>
      </c>
      <c r="F30" t="str">
        <f>VLOOKUP(E30, Lookup_Departments!A:B, 2, FALSE)</f>
        <v>Finance</v>
      </c>
      <c r="G30" s="2">
        <v>43233</v>
      </c>
      <c r="H30" s="6" t="s">
        <v>216</v>
      </c>
      <c r="I30" s="5">
        <v>85312</v>
      </c>
      <c r="J30">
        <v>66</v>
      </c>
      <c r="K30" t="str">
        <f t="shared" si="1"/>
        <v>Developing</v>
      </c>
      <c r="L30">
        <f t="shared" si="2"/>
        <v>1706.24</v>
      </c>
      <c r="M30" t="s">
        <v>232</v>
      </c>
      <c r="N30" s="12"/>
      <c r="O30" s="13"/>
      <c r="P30" s="14"/>
    </row>
    <row r="31" spans="1:16">
      <c r="A31" t="s">
        <v>67</v>
      </c>
      <c r="B31" t="s">
        <v>20</v>
      </c>
      <c r="C31" t="s">
        <v>34</v>
      </c>
      <c r="D31" t="str">
        <f t="shared" si="0"/>
        <v>John Rodriguez</v>
      </c>
      <c r="E31" t="s">
        <v>37</v>
      </c>
      <c r="F31" t="str">
        <f>VLOOKUP(E31, Lookup_Departments!A:B, 2, FALSE)</f>
        <v>Sales</v>
      </c>
      <c r="G31" s="2">
        <v>42202</v>
      </c>
      <c r="H31" s="6" t="s">
        <v>218</v>
      </c>
      <c r="I31" s="5">
        <v>0</v>
      </c>
      <c r="J31">
        <v>68</v>
      </c>
      <c r="K31" t="str">
        <f t="shared" si="1"/>
        <v>Developing</v>
      </c>
      <c r="L31">
        <f t="shared" si="2"/>
        <v>0</v>
      </c>
      <c r="M31" t="s">
        <v>232</v>
      </c>
      <c r="N31" s="12"/>
      <c r="O31" s="13"/>
      <c r="P31" s="14"/>
    </row>
    <row r="32" spans="1:16">
      <c r="A32" t="s">
        <v>68</v>
      </c>
      <c r="B32" t="s">
        <v>24</v>
      </c>
      <c r="C32" t="s">
        <v>14</v>
      </c>
      <c r="D32" t="str">
        <f t="shared" si="0"/>
        <v>Thomas Hernandez</v>
      </c>
      <c r="E32" t="s">
        <v>28</v>
      </c>
      <c r="F32" t="str">
        <f>VLOOKUP(E32, Lookup_Departments!A:B, 2, FALSE)</f>
        <v>Operations</v>
      </c>
      <c r="G32" s="2">
        <v>42221</v>
      </c>
      <c r="H32" s="6" t="s">
        <v>218</v>
      </c>
      <c r="I32" s="5">
        <v>97055</v>
      </c>
      <c r="J32">
        <v>80</v>
      </c>
      <c r="K32" t="str">
        <f t="shared" si="1"/>
        <v>Achieving</v>
      </c>
      <c r="L32">
        <f t="shared" si="2"/>
        <v>4852.75</v>
      </c>
      <c r="M32" t="s">
        <v>232</v>
      </c>
      <c r="N32" s="12"/>
      <c r="O32" s="13"/>
      <c r="P32" s="14"/>
    </row>
    <row r="33" spans="1:16">
      <c r="A33" t="s">
        <v>69</v>
      </c>
      <c r="B33" t="s">
        <v>36</v>
      </c>
      <c r="C33" t="s">
        <v>27</v>
      </c>
      <c r="D33" t="str">
        <f t="shared" si="0"/>
        <v>Michael Johnson</v>
      </c>
      <c r="E33" t="s">
        <v>11</v>
      </c>
      <c r="F33" t="str">
        <f>VLOOKUP(E33, Lookup_Departments!A:B, 2, FALSE)</f>
        <v>Information Technology</v>
      </c>
      <c r="G33" s="2">
        <v>45195</v>
      </c>
      <c r="H33" s="6" t="s">
        <v>221</v>
      </c>
      <c r="I33" s="5">
        <v>66069</v>
      </c>
      <c r="J33">
        <v>72</v>
      </c>
      <c r="K33" t="str">
        <f t="shared" si="1"/>
        <v>Achieving</v>
      </c>
      <c r="L33">
        <f t="shared" si="2"/>
        <v>3303.4500000000003</v>
      </c>
      <c r="M33" t="s">
        <v>232</v>
      </c>
      <c r="N33" s="12"/>
      <c r="O33" s="13"/>
      <c r="P33" s="14"/>
    </row>
    <row r="34" spans="1:16">
      <c r="A34" t="s">
        <v>70</v>
      </c>
      <c r="B34" t="s">
        <v>71</v>
      </c>
      <c r="C34" t="s">
        <v>10</v>
      </c>
      <c r="D34" t="str">
        <f t="shared" si="0"/>
        <v>Sarah Brown</v>
      </c>
      <c r="E34" t="s">
        <v>11</v>
      </c>
      <c r="F34" t="str">
        <f>VLOOKUP(E34, Lookup_Departments!A:B, 2, FALSE)</f>
        <v>Information Technology</v>
      </c>
      <c r="G34" s="2">
        <v>43626</v>
      </c>
      <c r="H34" s="6" t="s">
        <v>224</v>
      </c>
      <c r="I34" s="5">
        <v>90157</v>
      </c>
      <c r="J34">
        <v>58</v>
      </c>
      <c r="K34" t="str">
        <f t="shared" si="1"/>
        <v>Developing</v>
      </c>
      <c r="L34">
        <f t="shared" si="2"/>
        <v>1803.14</v>
      </c>
      <c r="M34" t="s">
        <v>232</v>
      </c>
      <c r="N34" s="12"/>
      <c r="O34" s="13"/>
      <c r="P34" s="14"/>
    </row>
    <row r="35" spans="1:16">
      <c r="A35" t="s">
        <v>72</v>
      </c>
      <c r="B35" t="s">
        <v>42</v>
      </c>
      <c r="C35" t="s">
        <v>21</v>
      </c>
      <c r="D35" t="str">
        <f t="shared" si="0"/>
        <v>Jane Martinez</v>
      </c>
      <c r="E35" t="s">
        <v>73</v>
      </c>
      <c r="F35" t="str">
        <f>VLOOKUP(E35, Lookup_Departments!A:B, 2, FALSE)</f>
        <v>Human Resources</v>
      </c>
      <c r="G35" s="2">
        <v>44578</v>
      </c>
      <c r="H35" s="6" t="s">
        <v>217</v>
      </c>
      <c r="I35" s="5">
        <v>59899</v>
      </c>
      <c r="J35">
        <v>78</v>
      </c>
      <c r="K35" t="str">
        <f t="shared" si="1"/>
        <v>Achieving</v>
      </c>
      <c r="L35">
        <f t="shared" si="2"/>
        <v>2994.9500000000003</v>
      </c>
      <c r="M35" t="s">
        <v>232</v>
      </c>
      <c r="N35" s="12"/>
      <c r="O35" s="13"/>
      <c r="P35" s="14"/>
    </row>
    <row r="36" spans="1:16">
      <c r="A36" t="s">
        <v>74</v>
      </c>
      <c r="B36" t="s">
        <v>9</v>
      </c>
      <c r="C36" t="s">
        <v>47</v>
      </c>
      <c r="D36" t="str">
        <f t="shared" si="0"/>
        <v>Emily Jones</v>
      </c>
      <c r="E36" t="s">
        <v>22</v>
      </c>
      <c r="F36" t="str">
        <f>VLOOKUP(E36, Lookup_Departments!A:B, 2, FALSE)</f>
        <v>Finance</v>
      </c>
      <c r="G36" s="2">
        <v>42919</v>
      </c>
      <c r="H36" s="6" t="s">
        <v>223</v>
      </c>
      <c r="I36" s="5">
        <v>113389</v>
      </c>
      <c r="J36">
        <v>30</v>
      </c>
      <c r="K36" t="str">
        <f t="shared" si="1"/>
        <v>Needs Improvement</v>
      </c>
      <c r="L36">
        <f t="shared" si="2"/>
        <v>0</v>
      </c>
      <c r="M36" t="s">
        <v>232</v>
      </c>
      <c r="N36" s="12"/>
      <c r="O36" s="13"/>
      <c r="P36" s="14"/>
    </row>
    <row r="37" spans="1:16">
      <c r="A37" t="s">
        <v>75</v>
      </c>
      <c r="B37" t="s">
        <v>212</v>
      </c>
      <c r="C37" t="s">
        <v>10</v>
      </c>
      <c r="D37" t="str">
        <f t="shared" si="0"/>
        <v>Unknown Brown</v>
      </c>
      <c r="E37" t="s">
        <v>11</v>
      </c>
      <c r="F37" t="str">
        <f>VLOOKUP(E37, Lookup_Departments!A:B, 2, FALSE)</f>
        <v>Information Technology</v>
      </c>
      <c r="G37" s="2">
        <v>42248</v>
      </c>
      <c r="H37" s="6" t="s">
        <v>218</v>
      </c>
      <c r="I37" s="5">
        <v>102691</v>
      </c>
      <c r="J37">
        <v>52</v>
      </c>
      <c r="K37" t="str">
        <f t="shared" si="1"/>
        <v>Developing</v>
      </c>
      <c r="L37">
        <f t="shared" si="2"/>
        <v>2053.8200000000002</v>
      </c>
      <c r="M37" t="s">
        <v>232</v>
      </c>
      <c r="N37" s="12"/>
      <c r="O37" s="13"/>
      <c r="P37" s="14"/>
    </row>
    <row r="38" spans="1:16">
      <c r="A38" t="s">
        <v>76</v>
      </c>
      <c r="B38" t="s">
        <v>20</v>
      </c>
      <c r="C38" t="s">
        <v>30</v>
      </c>
      <c r="D38" t="str">
        <f t="shared" si="0"/>
        <v>John Wilson</v>
      </c>
      <c r="E38" t="s">
        <v>28</v>
      </c>
      <c r="F38" t="str">
        <f>VLOOKUP(E38, Lookup_Departments!A:B, 2, FALSE)</f>
        <v>Operations</v>
      </c>
      <c r="G38" s="2">
        <v>44776</v>
      </c>
      <c r="H38" s="6" t="s">
        <v>219</v>
      </c>
      <c r="I38" s="5">
        <v>111845</v>
      </c>
      <c r="J38">
        <v>98</v>
      </c>
      <c r="K38" t="str">
        <f t="shared" si="1"/>
        <v>Outstanding</v>
      </c>
      <c r="L38">
        <f t="shared" si="2"/>
        <v>13421.4</v>
      </c>
      <c r="M38" t="s">
        <v>232</v>
      </c>
      <c r="N38" s="12"/>
      <c r="O38" s="13"/>
      <c r="P38" s="14"/>
    </row>
    <row r="39" spans="1:16">
      <c r="A39" t="s">
        <v>77</v>
      </c>
      <c r="B39" t="s">
        <v>78</v>
      </c>
      <c r="C39" t="s">
        <v>10</v>
      </c>
      <c r="D39" t="str">
        <f t="shared" si="0"/>
        <v>Melissa Brown</v>
      </c>
      <c r="E39" t="s">
        <v>37</v>
      </c>
      <c r="F39" t="str">
        <f>VLOOKUP(E39, Lookup_Departments!A:B, 2, FALSE)</f>
        <v>Sales</v>
      </c>
      <c r="G39" s="2">
        <v>44741</v>
      </c>
      <c r="H39" s="6" t="s">
        <v>217</v>
      </c>
      <c r="I39" s="5">
        <v>69219</v>
      </c>
      <c r="J39">
        <v>93</v>
      </c>
      <c r="K39" t="str">
        <f t="shared" si="1"/>
        <v>Exceeding</v>
      </c>
      <c r="L39">
        <f t="shared" si="2"/>
        <v>5537.52</v>
      </c>
      <c r="M39" t="s">
        <v>232</v>
      </c>
      <c r="N39" s="15"/>
      <c r="O39" s="16"/>
      <c r="P39" s="17"/>
    </row>
    <row r="40" spans="1:16">
      <c r="A40" t="s">
        <v>79</v>
      </c>
      <c r="B40" t="s">
        <v>36</v>
      </c>
      <c r="C40" t="s">
        <v>25</v>
      </c>
      <c r="D40" t="str">
        <f t="shared" si="0"/>
        <v>Michael Smith</v>
      </c>
      <c r="E40" t="s">
        <v>22</v>
      </c>
      <c r="F40" t="str">
        <f>VLOOKUP(E40, Lookup_Departments!A:B, 2, FALSE)</f>
        <v>Finance</v>
      </c>
      <c r="G40" s="2">
        <v>43949</v>
      </c>
      <c r="H40" s="6" t="s">
        <v>220</v>
      </c>
      <c r="I40" s="5">
        <v>0</v>
      </c>
      <c r="J40">
        <v>80</v>
      </c>
      <c r="K40" t="str">
        <f t="shared" si="1"/>
        <v>Achieving</v>
      </c>
      <c r="L40">
        <f t="shared" si="2"/>
        <v>0</v>
      </c>
      <c r="M40" t="s">
        <v>233</v>
      </c>
    </row>
    <row r="41" spans="1:16">
      <c r="A41" t="s">
        <v>80</v>
      </c>
      <c r="B41" t="s">
        <v>71</v>
      </c>
      <c r="C41" t="s">
        <v>39</v>
      </c>
      <c r="D41" t="str">
        <f t="shared" si="0"/>
        <v>Sarah Miller</v>
      </c>
      <c r="E41" t="s">
        <v>28</v>
      </c>
      <c r="F41" t="str">
        <f>VLOOKUP(E41, Lookup_Departments!A:B, 2, FALSE)</f>
        <v>Operations</v>
      </c>
      <c r="G41" s="2">
        <v>42987</v>
      </c>
      <c r="H41" s="6" t="s">
        <v>216</v>
      </c>
      <c r="I41" s="5">
        <v>57514</v>
      </c>
      <c r="J41">
        <v>0</v>
      </c>
      <c r="K41" t="str">
        <f t="shared" si="1"/>
        <v>Needs Improvement</v>
      </c>
      <c r="L41">
        <f t="shared" si="2"/>
        <v>0</v>
      </c>
      <c r="M41" t="s">
        <v>232</v>
      </c>
    </row>
    <row r="42" spans="1:16">
      <c r="A42" t="s">
        <v>81</v>
      </c>
      <c r="B42" t="s">
        <v>9</v>
      </c>
      <c r="C42" t="s">
        <v>30</v>
      </c>
      <c r="D42" t="str">
        <f t="shared" si="0"/>
        <v>Emily Wilson</v>
      </c>
      <c r="E42" t="s">
        <v>37</v>
      </c>
      <c r="F42" t="str">
        <f>VLOOKUP(E42, Lookup_Departments!A:B, 2, FALSE)</f>
        <v>Sales</v>
      </c>
      <c r="G42" s="2">
        <v>43181</v>
      </c>
      <c r="H42" s="6" t="s">
        <v>216</v>
      </c>
      <c r="I42" s="5">
        <v>86245</v>
      </c>
      <c r="J42">
        <v>71</v>
      </c>
      <c r="K42" t="str">
        <f t="shared" si="1"/>
        <v>Achieving</v>
      </c>
      <c r="L42">
        <f t="shared" si="2"/>
        <v>4312.25</v>
      </c>
      <c r="M42" t="s">
        <v>233</v>
      </c>
    </row>
    <row r="43" spans="1:16">
      <c r="A43" t="s">
        <v>82</v>
      </c>
      <c r="B43" t="s">
        <v>83</v>
      </c>
      <c r="C43" t="s">
        <v>14</v>
      </c>
      <c r="D43" t="str">
        <f t="shared" si="0"/>
        <v>David Hernandez</v>
      </c>
      <c r="E43" t="s">
        <v>37</v>
      </c>
      <c r="F43" t="str">
        <f>VLOOKUP(E43, Lookup_Departments!A:B, 2, FALSE)</f>
        <v>Sales</v>
      </c>
      <c r="G43" s="2">
        <v>43958</v>
      </c>
      <c r="H43" s="6" t="s">
        <v>220</v>
      </c>
      <c r="I43" s="5">
        <v>52407</v>
      </c>
      <c r="J43">
        <v>55</v>
      </c>
      <c r="K43" t="str">
        <f t="shared" si="1"/>
        <v>Developing</v>
      </c>
      <c r="L43">
        <f t="shared" si="2"/>
        <v>1048.1400000000001</v>
      </c>
      <c r="M43" t="s">
        <v>232</v>
      </c>
    </row>
    <row r="44" spans="1:16">
      <c r="A44" t="s">
        <v>84</v>
      </c>
      <c r="B44" t="s">
        <v>52</v>
      </c>
      <c r="C44" t="s">
        <v>25</v>
      </c>
      <c r="D44" t="str">
        <f t="shared" si="0"/>
        <v>James Smith</v>
      </c>
      <c r="E44" t="s">
        <v>28</v>
      </c>
      <c r="F44" t="str">
        <f>VLOOKUP(E44, Lookup_Departments!A:B, 2, FALSE)</f>
        <v>Operations</v>
      </c>
      <c r="G44" s="2">
        <v>43549</v>
      </c>
      <c r="H44" s="6" t="s">
        <v>224</v>
      </c>
      <c r="I44" s="5">
        <v>66606</v>
      </c>
      <c r="J44">
        <v>93</v>
      </c>
      <c r="K44" t="str">
        <f t="shared" si="1"/>
        <v>Exceeding</v>
      </c>
      <c r="L44">
        <f t="shared" si="2"/>
        <v>5328.4800000000005</v>
      </c>
      <c r="M44" t="s">
        <v>234</v>
      </c>
    </row>
    <row r="45" spans="1:16">
      <c r="A45" t="s">
        <v>85</v>
      </c>
      <c r="B45" t="s">
        <v>71</v>
      </c>
      <c r="C45" t="s">
        <v>43</v>
      </c>
      <c r="D45" t="str">
        <f t="shared" si="0"/>
        <v>Sarah Williams</v>
      </c>
      <c r="E45" t="s">
        <v>11</v>
      </c>
      <c r="F45" t="str">
        <f>VLOOKUP(E45, Lookup_Departments!A:B, 2, FALSE)</f>
        <v>Information Technology</v>
      </c>
      <c r="G45" s="2">
        <v>43686</v>
      </c>
      <c r="H45" s="6" t="s">
        <v>220</v>
      </c>
      <c r="I45" s="5">
        <v>81896</v>
      </c>
      <c r="J45">
        <v>79</v>
      </c>
      <c r="K45" t="str">
        <f t="shared" si="1"/>
        <v>Achieving</v>
      </c>
      <c r="L45">
        <f t="shared" si="2"/>
        <v>4094.8</v>
      </c>
      <c r="M45" t="s">
        <v>234</v>
      </c>
    </row>
    <row r="46" spans="1:16">
      <c r="A46" t="s">
        <v>86</v>
      </c>
      <c r="B46" t="s">
        <v>57</v>
      </c>
      <c r="C46" t="s">
        <v>55</v>
      </c>
      <c r="D46" t="str">
        <f t="shared" si="0"/>
        <v>Amanda Lopez</v>
      </c>
      <c r="E46" t="s">
        <v>37</v>
      </c>
      <c r="F46" t="str">
        <f>VLOOKUP(E46, Lookup_Departments!A:B, 2, FALSE)</f>
        <v>Sales</v>
      </c>
      <c r="G46" s="2">
        <v>42565</v>
      </c>
      <c r="H46" s="6" t="s">
        <v>223</v>
      </c>
      <c r="I46" s="5">
        <v>78402</v>
      </c>
      <c r="J46">
        <v>54</v>
      </c>
      <c r="K46" t="str">
        <f t="shared" si="1"/>
        <v>Developing</v>
      </c>
      <c r="L46">
        <f t="shared" si="2"/>
        <v>1568.04</v>
      </c>
      <c r="M46" t="s">
        <v>232</v>
      </c>
    </row>
    <row r="47" spans="1:16">
      <c r="A47" t="s">
        <v>87</v>
      </c>
      <c r="B47" t="s">
        <v>24</v>
      </c>
      <c r="C47" t="s">
        <v>55</v>
      </c>
      <c r="D47" t="str">
        <f t="shared" si="0"/>
        <v>Thomas Lopez</v>
      </c>
      <c r="E47" t="s">
        <v>28</v>
      </c>
      <c r="F47" t="str">
        <f>VLOOKUP(E47, Lookup_Departments!A:B, 2, FALSE)</f>
        <v>Operations</v>
      </c>
      <c r="G47" s="2">
        <v>42647</v>
      </c>
      <c r="H47" s="6" t="s">
        <v>223</v>
      </c>
      <c r="I47" s="5">
        <v>105498</v>
      </c>
      <c r="J47">
        <v>76</v>
      </c>
      <c r="K47" t="str">
        <f t="shared" si="1"/>
        <v>Achieving</v>
      </c>
      <c r="L47">
        <f t="shared" si="2"/>
        <v>5274.9000000000005</v>
      </c>
      <c r="M47" t="s">
        <v>232</v>
      </c>
    </row>
    <row r="48" spans="1:16">
      <c r="A48" t="s">
        <v>88</v>
      </c>
      <c r="B48" t="s">
        <v>78</v>
      </c>
      <c r="C48" t="s">
        <v>27</v>
      </c>
      <c r="D48" t="str">
        <f t="shared" si="0"/>
        <v>Melissa Johnson</v>
      </c>
      <c r="E48" t="s">
        <v>15</v>
      </c>
      <c r="F48" t="str">
        <f>VLOOKUP(E48, Lookup_Departments!A:B, 2, FALSE)</f>
        <v>Marketing</v>
      </c>
      <c r="G48" s="2">
        <v>43656</v>
      </c>
      <c r="H48" s="6" t="s">
        <v>220</v>
      </c>
      <c r="I48" s="5">
        <v>91749</v>
      </c>
      <c r="J48">
        <v>72</v>
      </c>
      <c r="K48" t="str">
        <f t="shared" si="1"/>
        <v>Achieving</v>
      </c>
      <c r="L48">
        <f t="shared" si="2"/>
        <v>4587.45</v>
      </c>
      <c r="M48" t="s">
        <v>233</v>
      </c>
    </row>
    <row r="49" spans="1:13">
      <c r="A49" t="s">
        <v>89</v>
      </c>
      <c r="B49" t="s">
        <v>57</v>
      </c>
      <c r="C49" t="s">
        <v>27</v>
      </c>
      <c r="D49" t="str">
        <f t="shared" si="0"/>
        <v>Amanda Johnson</v>
      </c>
      <c r="E49" t="s">
        <v>28</v>
      </c>
      <c r="F49" t="str">
        <f>VLOOKUP(E49, Lookup_Departments!A:B, 2, FALSE)</f>
        <v>Operations</v>
      </c>
      <c r="G49" s="2">
        <v>44437</v>
      </c>
      <c r="H49" s="6" t="s">
        <v>217</v>
      </c>
      <c r="I49" s="5">
        <v>99935</v>
      </c>
      <c r="J49">
        <v>84</v>
      </c>
      <c r="K49" t="str">
        <f t="shared" si="1"/>
        <v>Achieving</v>
      </c>
      <c r="L49">
        <f t="shared" si="2"/>
        <v>4996.75</v>
      </c>
      <c r="M49" t="s">
        <v>234</v>
      </c>
    </row>
    <row r="50" spans="1:13">
      <c r="A50" t="s">
        <v>90</v>
      </c>
      <c r="B50" t="s">
        <v>20</v>
      </c>
      <c r="C50" t="s">
        <v>50</v>
      </c>
      <c r="D50" t="str">
        <f t="shared" si="0"/>
        <v>John Davis</v>
      </c>
      <c r="E50" t="s">
        <v>11</v>
      </c>
      <c r="F50" t="str">
        <f>VLOOKUP(E50, Lookup_Departments!A:B, 2, FALSE)</f>
        <v>Information Technology</v>
      </c>
      <c r="G50" s="2">
        <v>42761</v>
      </c>
      <c r="H50" s="6" t="s">
        <v>223</v>
      </c>
      <c r="I50" s="5">
        <v>83531</v>
      </c>
      <c r="J50">
        <v>30</v>
      </c>
      <c r="K50" t="str">
        <f t="shared" si="1"/>
        <v>Needs Improvement</v>
      </c>
      <c r="L50">
        <f t="shared" si="2"/>
        <v>0</v>
      </c>
      <c r="M50" t="s">
        <v>233</v>
      </c>
    </row>
    <row r="51" spans="1:13">
      <c r="A51" t="s">
        <v>91</v>
      </c>
      <c r="B51" t="s">
        <v>52</v>
      </c>
      <c r="C51" t="s">
        <v>27</v>
      </c>
      <c r="D51" t="str">
        <f t="shared" si="0"/>
        <v>James Johnson</v>
      </c>
      <c r="E51" t="s">
        <v>15</v>
      </c>
      <c r="F51" t="str">
        <f>VLOOKUP(E51, Lookup_Departments!A:B, 2, FALSE)</f>
        <v>Marketing</v>
      </c>
      <c r="G51" s="2">
        <v>43981</v>
      </c>
      <c r="H51" s="6" t="s">
        <v>220</v>
      </c>
      <c r="I51" s="5">
        <v>75023</v>
      </c>
      <c r="J51">
        <v>0</v>
      </c>
      <c r="K51" t="str">
        <f t="shared" si="1"/>
        <v>Needs Improvement</v>
      </c>
      <c r="L51">
        <f t="shared" si="2"/>
        <v>0</v>
      </c>
      <c r="M51" t="s">
        <v>232</v>
      </c>
    </row>
    <row r="52" spans="1:13">
      <c r="A52" t="s">
        <v>92</v>
      </c>
      <c r="B52" t="s">
        <v>42</v>
      </c>
      <c r="C52" t="s">
        <v>50</v>
      </c>
      <c r="D52" t="str">
        <f t="shared" si="0"/>
        <v>Jane Davis</v>
      </c>
      <c r="E52" t="s">
        <v>73</v>
      </c>
      <c r="F52" t="str">
        <f>VLOOKUP(E52, Lookup_Departments!A:B, 2, FALSE)</f>
        <v>Human Resources</v>
      </c>
      <c r="G52" s="2">
        <v>44612</v>
      </c>
      <c r="H52" s="6" t="s">
        <v>217</v>
      </c>
      <c r="I52" s="5">
        <v>93290</v>
      </c>
      <c r="J52">
        <v>53</v>
      </c>
      <c r="K52" t="str">
        <f t="shared" si="1"/>
        <v>Developing</v>
      </c>
      <c r="L52">
        <f t="shared" si="2"/>
        <v>1865.8</v>
      </c>
      <c r="M52" t="s">
        <v>232</v>
      </c>
    </row>
    <row r="53" spans="1:13">
      <c r="A53" t="s">
        <v>93</v>
      </c>
      <c r="B53" t="s">
        <v>13</v>
      </c>
      <c r="C53" t="s">
        <v>50</v>
      </c>
      <c r="D53" t="str">
        <f t="shared" si="0"/>
        <v>Richard Davis</v>
      </c>
      <c r="E53" t="s">
        <v>28</v>
      </c>
      <c r="F53" t="str">
        <f>VLOOKUP(E53, Lookup_Departments!A:B, 2, FALSE)</f>
        <v>Operations</v>
      </c>
      <c r="G53" s="2">
        <v>42628</v>
      </c>
      <c r="H53" s="6" t="s">
        <v>223</v>
      </c>
      <c r="I53" s="5">
        <v>115527</v>
      </c>
      <c r="J53">
        <v>63</v>
      </c>
      <c r="K53" t="str">
        <f t="shared" si="1"/>
        <v>Developing</v>
      </c>
      <c r="L53">
        <f t="shared" si="2"/>
        <v>2310.54</v>
      </c>
      <c r="M53" t="s">
        <v>234</v>
      </c>
    </row>
    <row r="54" spans="1:13">
      <c r="A54" t="s">
        <v>94</v>
      </c>
      <c r="B54" t="s">
        <v>24</v>
      </c>
      <c r="C54" t="s">
        <v>34</v>
      </c>
      <c r="D54" t="str">
        <f t="shared" si="0"/>
        <v>Thomas Rodriguez</v>
      </c>
      <c r="E54" t="s">
        <v>22</v>
      </c>
      <c r="F54" t="str">
        <f>VLOOKUP(E54, Lookup_Departments!A:B, 2, FALSE)</f>
        <v>Finance</v>
      </c>
      <c r="G54" s="2">
        <v>43745</v>
      </c>
      <c r="H54" s="6" t="s">
        <v>220</v>
      </c>
      <c r="I54" s="5">
        <v>55920</v>
      </c>
      <c r="J54">
        <v>84</v>
      </c>
      <c r="K54" t="str">
        <f t="shared" si="1"/>
        <v>Achieving</v>
      </c>
      <c r="L54">
        <f t="shared" si="2"/>
        <v>2796</v>
      </c>
      <c r="M54" t="s">
        <v>232</v>
      </c>
    </row>
    <row r="55" spans="1:13">
      <c r="A55" t="s">
        <v>95</v>
      </c>
      <c r="B55" t="s">
        <v>9</v>
      </c>
      <c r="C55" t="s">
        <v>27</v>
      </c>
      <c r="D55" t="str">
        <f t="shared" si="0"/>
        <v>Emily Johnson</v>
      </c>
      <c r="E55" t="s">
        <v>37</v>
      </c>
      <c r="F55" t="str">
        <f>VLOOKUP(E55, Lookup_Departments!A:B, 2, FALSE)</f>
        <v>Sales</v>
      </c>
      <c r="G55" s="2">
        <v>43464</v>
      </c>
      <c r="H55" s="6" t="s">
        <v>224</v>
      </c>
      <c r="I55" s="5">
        <v>80189</v>
      </c>
      <c r="J55">
        <v>30</v>
      </c>
      <c r="K55" t="str">
        <f t="shared" si="1"/>
        <v>Needs Improvement</v>
      </c>
      <c r="L55">
        <f t="shared" si="2"/>
        <v>0</v>
      </c>
      <c r="M55" t="s">
        <v>232</v>
      </c>
    </row>
    <row r="56" spans="1:13">
      <c r="A56" t="s">
        <v>96</v>
      </c>
      <c r="B56" t="s">
        <v>9</v>
      </c>
      <c r="C56" t="s">
        <v>97</v>
      </c>
      <c r="D56" t="str">
        <f t="shared" si="0"/>
        <v>Emily Garcia</v>
      </c>
      <c r="E56" t="s">
        <v>73</v>
      </c>
      <c r="F56" t="str">
        <f>VLOOKUP(E56, Lookup_Departments!A:B, 2, FALSE)</f>
        <v>Human Resources</v>
      </c>
      <c r="G56" s="2">
        <v>44189</v>
      </c>
      <c r="H56" s="6" t="s">
        <v>222</v>
      </c>
      <c r="I56" s="5">
        <v>118947</v>
      </c>
      <c r="J56">
        <v>96</v>
      </c>
      <c r="K56" t="str">
        <f t="shared" si="1"/>
        <v>Outstanding</v>
      </c>
      <c r="L56">
        <f t="shared" si="2"/>
        <v>14273.64</v>
      </c>
      <c r="M56" t="s">
        <v>232</v>
      </c>
    </row>
    <row r="57" spans="1:13">
      <c r="A57" t="s">
        <v>98</v>
      </c>
      <c r="B57" t="s">
        <v>42</v>
      </c>
      <c r="C57" t="s">
        <v>99</v>
      </c>
      <c r="D57" t="str">
        <f t="shared" si="0"/>
        <v>Jane Anderson</v>
      </c>
      <c r="E57" t="s">
        <v>11</v>
      </c>
      <c r="F57" t="str">
        <f>VLOOKUP(E57, Lookup_Departments!A:B, 2, FALSE)</f>
        <v>Information Technology</v>
      </c>
      <c r="G57" s="2">
        <v>45112</v>
      </c>
      <c r="H57" s="6" t="s">
        <v>221</v>
      </c>
      <c r="I57" s="5">
        <v>0</v>
      </c>
      <c r="J57">
        <v>54</v>
      </c>
      <c r="K57" t="str">
        <f t="shared" si="1"/>
        <v>Developing</v>
      </c>
      <c r="L57">
        <f t="shared" si="2"/>
        <v>0</v>
      </c>
      <c r="M57" t="s">
        <v>232</v>
      </c>
    </row>
    <row r="58" spans="1:13">
      <c r="A58" t="s">
        <v>100</v>
      </c>
      <c r="B58" t="s">
        <v>24</v>
      </c>
      <c r="C58" t="s">
        <v>97</v>
      </c>
      <c r="D58" t="str">
        <f t="shared" si="0"/>
        <v>Thomas Garcia</v>
      </c>
      <c r="E58" t="s">
        <v>28</v>
      </c>
      <c r="F58" t="str">
        <f>VLOOKUP(E58, Lookup_Departments!A:B, 2, FALSE)</f>
        <v>Operations</v>
      </c>
      <c r="G58" s="2">
        <v>44148</v>
      </c>
      <c r="H58" s="6" t="s">
        <v>222</v>
      </c>
      <c r="I58" s="5">
        <v>0</v>
      </c>
      <c r="J58">
        <v>75</v>
      </c>
      <c r="K58" t="str">
        <f t="shared" si="1"/>
        <v>Achieving</v>
      </c>
      <c r="L58">
        <f t="shared" si="2"/>
        <v>0</v>
      </c>
      <c r="M58" t="s">
        <v>232</v>
      </c>
    </row>
    <row r="59" spans="1:13">
      <c r="A59" t="s">
        <v>101</v>
      </c>
      <c r="B59" t="s">
        <v>83</v>
      </c>
      <c r="C59" t="s">
        <v>21</v>
      </c>
      <c r="D59" t="str">
        <f t="shared" si="0"/>
        <v>David Martinez</v>
      </c>
      <c r="E59" t="s">
        <v>73</v>
      </c>
      <c r="F59" t="str">
        <f>VLOOKUP(E59, Lookup_Departments!A:B, 2, FALSE)</f>
        <v>Human Resources</v>
      </c>
      <c r="G59" s="2">
        <v>43138</v>
      </c>
      <c r="H59" s="6" t="s">
        <v>216</v>
      </c>
      <c r="I59" s="5">
        <v>91655</v>
      </c>
      <c r="J59">
        <v>95</v>
      </c>
      <c r="K59" t="str">
        <f t="shared" si="1"/>
        <v>Outstanding</v>
      </c>
      <c r="L59">
        <f t="shared" si="2"/>
        <v>10998.6</v>
      </c>
      <c r="M59" t="s">
        <v>232</v>
      </c>
    </row>
    <row r="60" spans="1:13">
      <c r="A60" t="s">
        <v>102</v>
      </c>
      <c r="B60" t="s">
        <v>9</v>
      </c>
      <c r="C60" t="s">
        <v>10</v>
      </c>
      <c r="D60" t="str">
        <f t="shared" si="0"/>
        <v>Emily Brown</v>
      </c>
      <c r="E60" t="s">
        <v>11</v>
      </c>
      <c r="F60" t="str">
        <f>VLOOKUP(E60, Lookup_Departments!A:B, 2, FALSE)</f>
        <v>Information Technology</v>
      </c>
      <c r="G60" s="2">
        <v>45255</v>
      </c>
      <c r="H60" s="6" t="s">
        <v>221</v>
      </c>
      <c r="I60" s="5">
        <v>49435</v>
      </c>
      <c r="J60">
        <v>0</v>
      </c>
      <c r="K60" t="str">
        <f t="shared" si="1"/>
        <v>Needs Improvement</v>
      </c>
      <c r="L60">
        <f t="shared" si="2"/>
        <v>0</v>
      </c>
      <c r="M60" t="s">
        <v>233</v>
      </c>
    </row>
    <row r="61" spans="1:13">
      <c r="A61" t="s">
        <v>103</v>
      </c>
      <c r="B61" t="s">
        <v>9</v>
      </c>
      <c r="C61" t="s">
        <v>30</v>
      </c>
      <c r="D61" t="str">
        <f t="shared" si="0"/>
        <v>Emily Wilson</v>
      </c>
      <c r="E61" t="s">
        <v>37</v>
      </c>
      <c r="F61" t="str">
        <f>VLOOKUP(E61, Lookup_Departments!A:B, 2, FALSE)</f>
        <v>Sales</v>
      </c>
      <c r="G61" s="2">
        <v>45217</v>
      </c>
      <c r="H61" s="6" t="s">
        <v>221</v>
      </c>
      <c r="I61" s="5">
        <v>110381</v>
      </c>
      <c r="J61">
        <v>93</v>
      </c>
      <c r="K61" t="str">
        <f t="shared" si="1"/>
        <v>Exceeding</v>
      </c>
      <c r="L61">
        <f t="shared" si="2"/>
        <v>8830.48</v>
      </c>
      <c r="M61" t="s">
        <v>232</v>
      </c>
    </row>
    <row r="62" spans="1:13">
      <c r="A62" t="s">
        <v>104</v>
      </c>
      <c r="B62" t="s">
        <v>36</v>
      </c>
      <c r="C62" t="s">
        <v>99</v>
      </c>
      <c r="D62" t="str">
        <f t="shared" si="0"/>
        <v>Michael Anderson</v>
      </c>
      <c r="E62" t="s">
        <v>73</v>
      </c>
      <c r="F62" t="str">
        <f>VLOOKUP(E62, Lookup_Departments!A:B, 2, FALSE)</f>
        <v>Human Resources</v>
      </c>
      <c r="G62" s="2">
        <v>44079</v>
      </c>
      <c r="H62" s="6" t="s">
        <v>222</v>
      </c>
      <c r="I62" s="5">
        <v>114748</v>
      </c>
      <c r="J62">
        <v>33</v>
      </c>
      <c r="K62" t="str">
        <f t="shared" si="1"/>
        <v>Needs Improvement</v>
      </c>
      <c r="L62">
        <f t="shared" si="2"/>
        <v>0</v>
      </c>
      <c r="M62" t="s">
        <v>232</v>
      </c>
    </row>
    <row r="63" spans="1:13">
      <c r="A63" t="s">
        <v>105</v>
      </c>
      <c r="B63" t="s">
        <v>46</v>
      </c>
      <c r="C63" t="s">
        <v>27</v>
      </c>
      <c r="D63" t="str">
        <f t="shared" si="0"/>
        <v>Robert Johnson</v>
      </c>
      <c r="E63" t="s">
        <v>28</v>
      </c>
      <c r="F63" t="str">
        <f>VLOOKUP(E63, Lookup_Departments!A:B, 2, FALSE)</f>
        <v>Operations</v>
      </c>
      <c r="G63" s="2">
        <v>42800</v>
      </c>
      <c r="H63" s="6" t="s">
        <v>223</v>
      </c>
      <c r="I63" s="5">
        <v>63302</v>
      </c>
      <c r="J63">
        <v>91</v>
      </c>
      <c r="K63" t="str">
        <f t="shared" si="1"/>
        <v>Exceeding</v>
      </c>
      <c r="L63">
        <f t="shared" si="2"/>
        <v>5064.16</v>
      </c>
      <c r="M63" t="s">
        <v>232</v>
      </c>
    </row>
    <row r="64" spans="1:13">
      <c r="A64" t="s">
        <v>106</v>
      </c>
      <c r="B64" t="s">
        <v>46</v>
      </c>
      <c r="C64" t="s">
        <v>39</v>
      </c>
      <c r="D64" t="str">
        <f t="shared" si="0"/>
        <v>Robert Miller</v>
      </c>
      <c r="E64" t="s">
        <v>11</v>
      </c>
      <c r="F64" t="str">
        <f>VLOOKUP(E64, Lookup_Departments!A:B, 2, FALSE)</f>
        <v>Information Technology</v>
      </c>
      <c r="G64" s="2">
        <v>42122</v>
      </c>
      <c r="H64" s="6" t="s">
        <v>225</v>
      </c>
      <c r="I64" s="5">
        <v>75519</v>
      </c>
      <c r="J64">
        <v>64</v>
      </c>
      <c r="K64" t="str">
        <f t="shared" si="1"/>
        <v>Developing</v>
      </c>
      <c r="L64">
        <f t="shared" si="2"/>
        <v>1510.38</v>
      </c>
      <c r="M64" t="s">
        <v>232</v>
      </c>
    </row>
    <row r="65" spans="1:13">
      <c r="A65" t="s">
        <v>107</v>
      </c>
      <c r="B65" t="s">
        <v>42</v>
      </c>
      <c r="C65" t="s">
        <v>50</v>
      </c>
      <c r="D65" t="str">
        <f t="shared" si="0"/>
        <v>Jane Davis</v>
      </c>
      <c r="E65" t="s">
        <v>22</v>
      </c>
      <c r="F65" t="str">
        <f>VLOOKUP(E65, Lookup_Departments!A:B, 2, FALSE)</f>
        <v>Finance</v>
      </c>
      <c r="G65" s="2">
        <v>42838</v>
      </c>
      <c r="H65" s="6" t="s">
        <v>223</v>
      </c>
      <c r="I65" s="5">
        <v>103891</v>
      </c>
      <c r="J65">
        <v>80</v>
      </c>
      <c r="K65" t="str">
        <f t="shared" si="1"/>
        <v>Achieving</v>
      </c>
      <c r="L65">
        <f t="shared" si="2"/>
        <v>5194.55</v>
      </c>
      <c r="M65" t="s">
        <v>232</v>
      </c>
    </row>
    <row r="66" spans="1:13">
      <c r="A66" t="s">
        <v>108</v>
      </c>
      <c r="B66" t="s">
        <v>24</v>
      </c>
      <c r="C66" t="s">
        <v>50</v>
      </c>
      <c r="D66" t="str">
        <f t="shared" si="0"/>
        <v>Thomas Davis</v>
      </c>
      <c r="E66" t="s">
        <v>28</v>
      </c>
      <c r="F66" t="str">
        <f>VLOOKUP(E66, Lookup_Departments!A:B, 2, FALSE)</f>
        <v>Operations</v>
      </c>
      <c r="G66" s="2">
        <v>44827</v>
      </c>
      <c r="H66" s="6" t="s">
        <v>219</v>
      </c>
      <c r="I66" s="5">
        <v>0</v>
      </c>
      <c r="J66">
        <v>46</v>
      </c>
      <c r="K66" t="str">
        <f t="shared" si="1"/>
        <v>Needs Improvement</v>
      </c>
      <c r="L66">
        <f t="shared" si="2"/>
        <v>0</v>
      </c>
      <c r="M66" t="s">
        <v>233</v>
      </c>
    </row>
    <row r="67" spans="1:13">
      <c r="A67" t="s">
        <v>109</v>
      </c>
      <c r="B67" t="s">
        <v>24</v>
      </c>
      <c r="C67" t="s">
        <v>47</v>
      </c>
      <c r="D67" t="str">
        <f t="shared" ref="D67:D130" si="3">TRIM(B67&amp; " "&amp;C67)</f>
        <v>Thomas Jones</v>
      </c>
      <c r="E67" t="s">
        <v>15</v>
      </c>
      <c r="F67" t="str">
        <f>VLOOKUP(E67, Lookup_Departments!A:B, 2, FALSE)</f>
        <v>Marketing</v>
      </c>
      <c r="G67" s="2">
        <v>42685</v>
      </c>
      <c r="H67" s="6" t="s">
        <v>223</v>
      </c>
      <c r="I67" s="5">
        <v>50936</v>
      </c>
      <c r="J67">
        <v>99</v>
      </c>
      <c r="K67" t="str">
        <f t="shared" ref="K67:K130" si="4">_xlfn.IFS(J67&lt;=49,"Needs Improvement",J67&lt;=69,"Developing",J67&lt;=84,"Achieving",J67&lt;=94,"Exceeding",J67&lt;=100,"Outstanding")</f>
        <v>Outstanding</v>
      </c>
      <c r="L67">
        <f t="shared" ref="L67:L130" si="5">IF(K67="Needs Improvement",0,
IF(K67="Developing",I67*0.02,
IF(K67="Achieving",I67*0.05,
IF(K67="Exceeding",I67*0.08,
IF(K67="Outstanding",I67*0.12,0)))))</f>
        <v>6112.32</v>
      </c>
      <c r="M67" t="s">
        <v>232</v>
      </c>
    </row>
    <row r="68" spans="1:13">
      <c r="A68" t="s">
        <v>110</v>
      </c>
      <c r="B68" t="s">
        <v>36</v>
      </c>
      <c r="C68" t="s">
        <v>39</v>
      </c>
      <c r="D68" t="str">
        <f t="shared" si="3"/>
        <v>Michael Miller</v>
      </c>
      <c r="E68" t="s">
        <v>37</v>
      </c>
      <c r="F68" t="str">
        <f>VLOOKUP(E68, Lookup_Departments!A:B, 2, FALSE)</f>
        <v>Sales</v>
      </c>
      <c r="G68" s="2">
        <v>42818</v>
      </c>
      <c r="H68" s="6" t="s">
        <v>223</v>
      </c>
      <c r="I68" s="5">
        <v>111240</v>
      </c>
      <c r="J68">
        <v>0</v>
      </c>
      <c r="K68" t="str">
        <f t="shared" si="4"/>
        <v>Needs Improvement</v>
      </c>
      <c r="L68">
        <f t="shared" si="5"/>
        <v>0</v>
      </c>
      <c r="M68" t="s">
        <v>232</v>
      </c>
    </row>
    <row r="69" spans="1:13">
      <c r="A69" t="s">
        <v>111</v>
      </c>
      <c r="B69" t="s">
        <v>13</v>
      </c>
      <c r="C69" t="s">
        <v>18</v>
      </c>
      <c r="D69" t="str">
        <f t="shared" si="3"/>
        <v>Richard Gonzalez</v>
      </c>
      <c r="E69" t="s">
        <v>73</v>
      </c>
      <c r="F69" t="str">
        <f>VLOOKUP(E69, Lookup_Departments!A:B, 2, FALSE)</f>
        <v>Human Resources</v>
      </c>
      <c r="G69" s="2">
        <v>43590</v>
      </c>
      <c r="H69" s="6" t="s">
        <v>224</v>
      </c>
      <c r="I69" s="5">
        <v>51567</v>
      </c>
      <c r="J69">
        <v>87</v>
      </c>
      <c r="K69" t="str">
        <f t="shared" si="4"/>
        <v>Exceeding</v>
      </c>
      <c r="L69">
        <f t="shared" si="5"/>
        <v>4125.3599999999997</v>
      </c>
      <c r="M69" t="s">
        <v>234</v>
      </c>
    </row>
    <row r="70" spans="1:13">
      <c r="A70" t="s">
        <v>112</v>
      </c>
      <c r="B70" t="s">
        <v>78</v>
      </c>
      <c r="C70" t="s">
        <v>43</v>
      </c>
      <c r="D70" t="str">
        <f t="shared" si="3"/>
        <v>Melissa Williams</v>
      </c>
      <c r="E70" t="s">
        <v>73</v>
      </c>
      <c r="F70" t="str">
        <f>VLOOKUP(E70, Lookup_Departments!A:B, 2, FALSE)</f>
        <v>Human Resources</v>
      </c>
      <c r="G70" s="2">
        <v>44402</v>
      </c>
      <c r="H70" s="6" t="s">
        <v>217</v>
      </c>
      <c r="I70" s="5">
        <v>0</v>
      </c>
      <c r="J70">
        <v>36</v>
      </c>
      <c r="K70" t="str">
        <f t="shared" si="4"/>
        <v>Needs Improvement</v>
      </c>
      <c r="L70">
        <f t="shared" si="5"/>
        <v>0</v>
      </c>
      <c r="M70" t="s">
        <v>232</v>
      </c>
    </row>
    <row r="71" spans="1:13">
      <c r="A71" t="s">
        <v>113</v>
      </c>
      <c r="B71" t="s">
        <v>46</v>
      </c>
      <c r="C71" t="s">
        <v>39</v>
      </c>
      <c r="D71" t="str">
        <f t="shared" si="3"/>
        <v>Robert Miller</v>
      </c>
      <c r="E71" t="s">
        <v>73</v>
      </c>
      <c r="F71" t="str">
        <f>VLOOKUP(E71, Lookup_Departments!A:B, 2, FALSE)</f>
        <v>Human Resources</v>
      </c>
      <c r="G71" s="2">
        <v>43008</v>
      </c>
      <c r="H71" s="6" t="s">
        <v>216</v>
      </c>
      <c r="I71" s="5">
        <v>55270</v>
      </c>
      <c r="J71">
        <v>87</v>
      </c>
      <c r="K71" t="str">
        <f t="shared" si="4"/>
        <v>Exceeding</v>
      </c>
      <c r="L71">
        <f t="shared" si="5"/>
        <v>4421.6000000000004</v>
      </c>
      <c r="M71" t="s">
        <v>232</v>
      </c>
    </row>
    <row r="72" spans="1:13">
      <c r="A72" t="s">
        <v>114</v>
      </c>
      <c r="B72" t="s">
        <v>115</v>
      </c>
      <c r="C72" t="s">
        <v>97</v>
      </c>
      <c r="D72" t="str">
        <f t="shared" si="3"/>
        <v>William Garcia</v>
      </c>
      <c r="E72" t="s">
        <v>37</v>
      </c>
      <c r="F72" t="str">
        <f>VLOOKUP(E72, Lookup_Departments!A:B, 2, FALSE)</f>
        <v>Sales</v>
      </c>
      <c r="G72" s="2">
        <v>42192</v>
      </c>
      <c r="H72" s="6" t="s">
        <v>218</v>
      </c>
      <c r="I72" s="5">
        <v>65235</v>
      </c>
      <c r="J72">
        <v>97</v>
      </c>
      <c r="K72" t="str">
        <f t="shared" si="4"/>
        <v>Outstanding</v>
      </c>
      <c r="L72">
        <f t="shared" si="5"/>
        <v>7828.2</v>
      </c>
      <c r="M72" t="s">
        <v>232</v>
      </c>
    </row>
    <row r="73" spans="1:13">
      <c r="A73" t="s">
        <v>116</v>
      </c>
      <c r="B73" t="s">
        <v>20</v>
      </c>
      <c r="C73" t="s">
        <v>18</v>
      </c>
      <c r="D73" t="str">
        <f t="shared" si="3"/>
        <v>John Gonzalez</v>
      </c>
      <c r="E73" t="s">
        <v>37</v>
      </c>
      <c r="F73" t="str">
        <f>VLOOKUP(E73, Lookup_Departments!A:B, 2, FALSE)</f>
        <v>Sales</v>
      </c>
      <c r="G73" s="2">
        <v>43283</v>
      </c>
      <c r="H73" s="6" t="s">
        <v>216</v>
      </c>
      <c r="I73" s="5">
        <v>0</v>
      </c>
      <c r="J73">
        <v>72</v>
      </c>
      <c r="K73" t="str">
        <f t="shared" si="4"/>
        <v>Achieving</v>
      </c>
      <c r="L73">
        <f t="shared" si="5"/>
        <v>0</v>
      </c>
      <c r="M73" t="s">
        <v>233</v>
      </c>
    </row>
    <row r="74" spans="1:13">
      <c r="A74" t="s">
        <v>117</v>
      </c>
      <c r="B74" t="s">
        <v>52</v>
      </c>
      <c r="C74" t="s">
        <v>18</v>
      </c>
      <c r="D74" t="str">
        <f t="shared" si="3"/>
        <v>James Gonzalez</v>
      </c>
      <c r="E74" t="s">
        <v>37</v>
      </c>
      <c r="F74" t="str">
        <f>VLOOKUP(E74, Lookup_Departments!A:B, 2, FALSE)</f>
        <v>Sales</v>
      </c>
      <c r="G74" s="2">
        <v>44819</v>
      </c>
      <c r="H74" s="6" t="s">
        <v>219</v>
      </c>
      <c r="I74" s="5">
        <v>0</v>
      </c>
      <c r="J74">
        <v>65</v>
      </c>
      <c r="K74" t="str">
        <f t="shared" si="4"/>
        <v>Developing</v>
      </c>
      <c r="L74">
        <f t="shared" si="5"/>
        <v>0</v>
      </c>
      <c r="M74" t="s">
        <v>233</v>
      </c>
    </row>
    <row r="75" spans="1:13">
      <c r="A75" t="s">
        <v>118</v>
      </c>
      <c r="B75" t="s">
        <v>42</v>
      </c>
      <c r="C75" t="s">
        <v>18</v>
      </c>
      <c r="D75" t="str">
        <f t="shared" si="3"/>
        <v>Jane Gonzalez</v>
      </c>
      <c r="E75" t="s">
        <v>37</v>
      </c>
      <c r="F75" t="str">
        <f>VLOOKUP(E75, Lookup_Departments!A:B, 2, FALSE)</f>
        <v>Sales</v>
      </c>
      <c r="G75" s="2">
        <v>42249</v>
      </c>
      <c r="H75" s="6" t="s">
        <v>218</v>
      </c>
      <c r="I75" s="5">
        <v>0</v>
      </c>
      <c r="J75">
        <v>67</v>
      </c>
      <c r="K75" t="str">
        <f t="shared" si="4"/>
        <v>Developing</v>
      </c>
      <c r="L75">
        <f t="shared" si="5"/>
        <v>0</v>
      </c>
      <c r="M75" t="s">
        <v>232</v>
      </c>
    </row>
    <row r="76" spans="1:13">
      <c r="A76" t="s">
        <v>119</v>
      </c>
      <c r="B76" t="s">
        <v>83</v>
      </c>
      <c r="C76" t="s">
        <v>30</v>
      </c>
      <c r="D76" t="str">
        <f t="shared" si="3"/>
        <v>David Wilson</v>
      </c>
      <c r="E76" t="s">
        <v>28</v>
      </c>
      <c r="F76" t="str">
        <f>VLOOKUP(E76, Lookup_Departments!A:B, 2, FALSE)</f>
        <v>Operations</v>
      </c>
      <c r="G76" s="2">
        <v>42654</v>
      </c>
      <c r="H76" s="6" t="s">
        <v>223</v>
      </c>
      <c r="I76" s="5">
        <v>48823</v>
      </c>
      <c r="J76">
        <v>34</v>
      </c>
      <c r="K76" t="str">
        <f t="shared" si="4"/>
        <v>Needs Improvement</v>
      </c>
      <c r="L76">
        <f t="shared" si="5"/>
        <v>0</v>
      </c>
      <c r="M76" t="s">
        <v>232</v>
      </c>
    </row>
    <row r="77" spans="1:13">
      <c r="A77" t="s">
        <v>120</v>
      </c>
      <c r="B77" t="s">
        <v>42</v>
      </c>
      <c r="C77" t="s">
        <v>18</v>
      </c>
      <c r="D77" t="str">
        <f t="shared" si="3"/>
        <v>Jane Gonzalez</v>
      </c>
      <c r="E77" t="s">
        <v>22</v>
      </c>
      <c r="F77" t="str">
        <f>VLOOKUP(E77, Lookup_Departments!A:B, 2, FALSE)</f>
        <v>Finance</v>
      </c>
      <c r="G77" s="2">
        <v>43575</v>
      </c>
      <c r="H77" s="6" t="s">
        <v>224</v>
      </c>
      <c r="I77" s="5">
        <v>45196</v>
      </c>
      <c r="J77">
        <v>78</v>
      </c>
      <c r="K77" t="str">
        <f t="shared" si="4"/>
        <v>Achieving</v>
      </c>
      <c r="L77">
        <f t="shared" si="5"/>
        <v>2259.8000000000002</v>
      </c>
      <c r="M77" t="s">
        <v>233</v>
      </c>
    </row>
    <row r="78" spans="1:13">
      <c r="A78" t="s">
        <v>121</v>
      </c>
      <c r="B78" t="s">
        <v>42</v>
      </c>
      <c r="C78" t="s">
        <v>34</v>
      </c>
      <c r="D78" t="str">
        <f t="shared" si="3"/>
        <v>Jane Rodriguez</v>
      </c>
      <c r="E78" t="s">
        <v>11</v>
      </c>
      <c r="F78" t="str">
        <f>VLOOKUP(E78, Lookup_Departments!A:B, 2, FALSE)</f>
        <v>Information Technology</v>
      </c>
      <c r="G78" s="2">
        <v>42785</v>
      </c>
      <c r="H78" s="6" t="s">
        <v>223</v>
      </c>
      <c r="I78" s="5">
        <v>86246</v>
      </c>
      <c r="J78">
        <v>61</v>
      </c>
      <c r="K78" t="str">
        <f t="shared" si="4"/>
        <v>Developing</v>
      </c>
      <c r="L78">
        <f t="shared" si="5"/>
        <v>1724.92</v>
      </c>
      <c r="M78" t="s">
        <v>232</v>
      </c>
    </row>
    <row r="79" spans="1:13">
      <c r="A79" t="s">
        <v>122</v>
      </c>
      <c r="B79" t="s">
        <v>9</v>
      </c>
      <c r="C79" t="s">
        <v>39</v>
      </c>
      <c r="D79" t="str">
        <f t="shared" si="3"/>
        <v>Emily Miller</v>
      </c>
      <c r="E79" t="s">
        <v>37</v>
      </c>
      <c r="F79" t="str">
        <f>VLOOKUP(E79, Lookup_Departments!A:B, 2, FALSE)</f>
        <v>Sales</v>
      </c>
      <c r="G79" s="2">
        <v>44446</v>
      </c>
      <c r="H79" s="6" t="s">
        <v>217</v>
      </c>
      <c r="I79" s="5">
        <v>70359</v>
      </c>
      <c r="J79">
        <v>74</v>
      </c>
      <c r="K79" t="str">
        <f t="shared" si="4"/>
        <v>Achieving</v>
      </c>
      <c r="L79">
        <f t="shared" si="5"/>
        <v>3517.9500000000003</v>
      </c>
      <c r="M79" t="s">
        <v>233</v>
      </c>
    </row>
    <row r="80" spans="1:13">
      <c r="A80" t="s">
        <v>123</v>
      </c>
      <c r="B80" t="s">
        <v>71</v>
      </c>
      <c r="C80" t="s">
        <v>39</v>
      </c>
      <c r="D80" t="str">
        <f t="shared" si="3"/>
        <v>Sarah Miller</v>
      </c>
      <c r="E80" t="s">
        <v>15</v>
      </c>
      <c r="F80" t="str">
        <f>VLOOKUP(E80, Lookup_Departments!A:B, 2, FALSE)</f>
        <v>Marketing</v>
      </c>
      <c r="G80" s="2">
        <v>43599</v>
      </c>
      <c r="H80" s="6" t="s">
        <v>224</v>
      </c>
      <c r="I80" s="5">
        <v>0</v>
      </c>
      <c r="J80">
        <v>94</v>
      </c>
      <c r="K80" t="str">
        <f t="shared" si="4"/>
        <v>Exceeding</v>
      </c>
      <c r="L80">
        <f t="shared" si="5"/>
        <v>0</v>
      </c>
      <c r="M80" t="s">
        <v>232</v>
      </c>
    </row>
    <row r="81" spans="1:13">
      <c r="A81" t="s">
        <v>124</v>
      </c>
      <c r="B81" t="s">
        <v>32</v>
      </c>
      <c r="C81" t="s">
        <v>97</v>
      </c>
      <c r="D81" t="str">
        <f t="shared" si="3"/>
        <v>Jessica Garcia</v>
      </c>
      <c r="E81" t="s">
        <v>28</v>
      </c>
      <c r="F81" t="str">
        <f>VLOOKUP(E81, Lookup_Departments!A:B, 2, FALSE)</f>
        <v>Operations</v>
      </c>
      <c r="G81" s="2">
        <v>42330</v>
      </c>
      <c r="H81" s="6" t="s">
        <v>218</v>
      </c>
      <c r="I81" s="5">
        <v>86480</v>
      </c>
      <c r="J81">
        <v>0</v>
      </c>
      <c r="K81" t="str">
        <f t="shared" si="4"/>
        <v>Needs Improvement</v>
      </c>
      <c r="L81">
        <f t="shared" si="5"/>
        <v>0</v>
      </c>
      <c r="M81" t="s">
        <v>232</v>
      </c>
    </row>
    <row r="82" spans="1:13">
      <c r="A82" t="s">
        <v>125</v>
      </c>
      <c r="B82" t="s">
        <v>13</v>
      </c>
      <c r="C82" t="s">
        <v>25</v>
      </c>
      <c r="D82" t="str">
        <f t="shared" si="3"/>
        <v>Richard Smith</v>
      </c>
      <c r="E82" t="s">
        <v>73</v>
      </c>
      <c r="F82" t="str">
        <f>VLOOKUP(E82, Lookup_Departments!A:B, 2, FALSE)</f>
        <v>Human Resources</v>
      </c>
      <c r="G82" s="2">
        <v>43372</v>
      </c>
      <c r="H82" s="6" t="s">
        <v>224</v>
      </c>
      <c r="I82" s="5">
        <v>47694</v>
      </c>
      <c r="J82">
        <v>75</v>
      </c>
      <c r="K82" t="str">
        <f t="shared" si="4"/>
        <v>Achieving</v>
      </c>
      <c r="L82">
        <f t="shared" si="5"/>
        <v>2384.7000000000003</v>
      </c>
      <c r="M82" t="s">
        <v>232</v>
      </c>
    </row>
    <row r="83" spans="1:13">
      <c r="A83" t="s">
        <v>126</v>
      </c>
      <c r="B83" t="s">
        <v>78</v>
      </c>
      <c r="C83" t="s">
        <v>30</v>
      </c>
      <c r="D83" t="str">
        <f t="shared" si="3"/>
        <v>Melissa Wilson</v>
      </c>
      <c r="E83" t="s">
        <v>11</v>
      </c>
      <c r="F83" t="str">
        <f>VLOOKUP(E83, Lookup_Departments!A:B, 2, FALSE)</f>
        <v>Information Technology</v>
      </c>
      <c r="G83" s="2">
        <v>45171</v>
      </c>
      <c r="H83" s="6" t="s">
        <v>221</v>
      </c>
      <c r="I83" s="5">
        <v>83724</v>
      </c>
      <c r="J83">
        <v>81</v>
      </c>
      <c r="K83" t="str">
        <f t="shared" si="4"/>
        <v>Achieving</v>
      </c>
      <c r="L83">
        <f t="shared" si="5"/>
        <v>4186.2</v>
      </c>
      <c r="M83" t="s">
        <v>234</v>
      </c>
    </row>
    <row r="84" spans="1:13">
      <c r="A84" t="s">
        <v>127</v>
      </c>
      <c r="B84" t="s">
        <v>24</v>
      </c>
      <c r="C84" t="s">
        <v>43</v>
      </c>
      <c r="D84" t="str">
        <f t="shared" si="3"/>
        <v>Thomas Williams</v>
      </c>
      <c r="E84" t="s">
        <v>22</v>
      </c>
      <c r="F84" t="str">
        <f>VLOOKUP(E84, Lookup_Departments!A:B, 2, FALSE)</f>
        <v>Finance</v>
      </c>
      <c r="G84" s="2">
        <v>44759</v>
      </c>
      <c r="H84" s="6" t="s">
        <v>219</v>
      </c>
      <c r="I84" s="5">
        <v>98299</v>
      </c>
      <c r="J84">
        <v>61</v>
      </c>
      <c r="K84" t="str">
        <f t="shared" si="4"/>
        <v>Developing</v>
      </c>
      <c r="L84">
        <f t="shared" si="5"/>
        <v>1965.98</v>
      </c>
      <c r="M84" t="s">
        <v>232</v>
      </c>
    </row>
    <row r="85" spans="1:13">
      <c r="A85" t="s">
        <v>128</v>
      </c>
      <c r="B85" t="s">
        <v>83</v>
      </c>
      <c r="C85" t="s">
        <v>43</v>
      </c>
      <c r="D85" t="str">
        <f t="shared" si="3"/>
        <v>David Williams</v>
      </c>
      <c r="E85" t="s">
        <v>22</v>
      </c>
      <c r="F85" t="str">
        <f>VLOOKUP(E85, Lookup_Departments!A:B, 2, FALSE)</f>
        <v>Finance</v>
      </c>
      <c r="G85" s="2">
        <v>44234</v>
      </c>
      <c r="H85" s="6" t="s">
        <v>222</v>
      </c>
      <c r="I85" s="5">
        <v>0</v>
      </c>
      <c r="J85">
        <v>68</v>
      </c>
      <c r="K85" t="str">
        <f t="shared" si="4"/>
        <v>Developing</v>
      </c>
      <c r="L85">
        <f t="shared" si="5"/>
        <v>0</v>
      </c>
      <c r="M85" t="s">
        <v>232</v>
      </c>
    </row>
    <row r="86" spans="1:13">
      <c r="A86" t="s">
        <v>129</v>
      </c>
      <c r="B86" t="s">
        <v>20</v>
      </c>
      <c r="C86" t="s">
        <v>27</v>
      </c>
      <c r="D86" t="str">
        <f t="shared" si="3"/>
        <v>John Johnson</v>
      </c>
      <c r="E86" t="s">
        <v>11</v>
      </c>
      <c r="F86" t="str">
        <f>VLOOKUP(E86, Lookup_Departments!A:B, 2, FALSE)</f>
        <v>Information Technology</v>
      </c>
      <c r="G86" s="2">
        <v>45203</v>
      </c>
      <c r="H86" s="6" t="s">
        <v>221</v>
      </c>
      <c r="I86" s="5">
        <v>52287</v>
      </c>
      <c r="J86">
        <v>70</v>
      </c>
      <c r="K86" t="str">
        <f t="shared" si="4"/>
        <v>Achieving</v>
      </c>
      <c r="L86">
        <f t="shared" si="5"/>
        <v>2614.3500000000004</v>
      </c>
      <c r="M86" t="s">
        <v>232</v>
      </c>
    </row>
    <row r="87" spans="1:13">
      <c r="A87" t="s">
        <v>130</v>
      </c>
      <c r="B87" t="s">
        <v>13</v>
      </c>
      <c r="C87" t="s">
        <v>18</v>
      </c>
      <c r="D87" t="str">
        <f t="shared" si="3"/>
        <v>Richard Gonzalez</v>
      </c>
      <c r="E87" t="s">
        <v>11</v>
      </c>
      <c r="F87" t="str">
        <f>VLOOKUP(E87, Lookup_Departments!A:B, 2, FALSE)</f>
        <v>Information Technology</v>
      </c>
      <c r="G87" s="2">
        <v>44073</v>
      </c>
      <c r="H87" s="6" t="s">
        <v>222</v>
      </c>
      <c r="I87" s="5">
        <v>82633</v>
      </c>
      <c r="J87">
        <v>98</v>
      </c>
      <c r="K87" t="str">
        <f t="shared" si="4"/>
        <v>Outstanding</v>
      </c>
      <c r="L87">
        <f t="shared" si="5"/>
        <v>9915.9599999999991</v>
      </c>
      <c r="M87" t="s">
        <v>232</v>
      </c>
    </row>
    <row r="88" spans="1:13">
      <c r="A88" t="s">
        <v>131</v>
      </c>
      <c r="B88" t="s">
        <v>78</v>
      </c>
      <c r="C88" t="s">
        <v>99</v>
      </c>
      <c r="D88" t="str">
        <f t="shared" si="3"/>
        <v>Melissa Anderson</v>
      </c>
      <c r="E88" t="s">
        <v>28</v>
      </c>
      <c r="F88" t="str">
        <f>VLOOKUP(E88, Lookup_Departments!A:B, 2, FALSE)</f>
        <v>Operations</v>
      </c>
      <c r="G88" s="2">
        <v>44422</v>
      </c>
      <c r="H88" s="6" t="s">
        <v>217</v>
      </c>
      <c r="I88" s="5">
        <v>46508</v>
      </c>
      <c r="J88">
        <v>34</v>
      </c>
      <c r="K88" t="str">
        <f t="shared" si="4"/>
        <v>Needs Improvement</v>
      </c>
      <c r="L88">
        <f t="shared" si="5"/>
        <v>0</v>
      </c>
      <c r="M88" t="s">
        <v>232</v>
      </c>
    </row>
    <row r="89" spans="1:13">
      <c r="A89" t="s">
        <v>132</v>
      </c>
      <c r="B89" t="s">
        <v>9</v>
      </c>
      <c r="C89" t="s">
        <v>18</v>
      </c>
      <c r="D89" t="str">
        <f t="shared" si="3"/>
        <v>Emily Gonzalez</v>
      </c>
      <c r="E89" t="s">
        <v>73</v>
      </c>
      <c r="F89" t="str">
        <f>VLOOKUP(E89, Lookup_Departments!A:B, 2, FALSE)</f>
        <v>Human Resources</v>
      </c>
      <c r="G89" s="2">
        <v>43796</v>
      </c>
      <c r="H89" s="6" t="s">
        <v>220</v>
      </c>
      <c r="I89" s="5">
        <v>86232</v>
      </c>
      <c r="J89">
        <v>93</v>
      </c>
      <c r="K89" t="str">
        <f t="shared" si="4"/>
        <v>Exceeding</v>
      </c>
      <c r="L89">
        <f t="shared" si="5"/>
        <v>6898.56</v>
      </c>
      <c r="M89" t="s">
        <v>232</v>
      </c>
    </row>
    <row r="90" spans="1:13">
      <c r="A90" t="s">
        <v>133</v>
      </c>
      <c r="B90" t="s">
        <v>42</v>
      </c>
      <c r="C90" t="s">
        <v>50</v>
      </c>
      <c r="D90" t="str">
        <f t="shared" si="3"/>
        <v>Jane Davis</v>
      </c>
      <c r="E90" t="s">
        <v>11</v>
      </c>
      <c r="F90" t="str">
        <f>VLOOKUP(E90, Lookup_Departments!A:B, 2, FALSE)</f>
        <v>Information Technology</v>
      </c>
      <c r="G90" s="2">
        <v>42880</v>
      </c>
      <c r="H90" s="6" t="s">
        <v>223</v>
      </c>
      <c r="I90" s="5">
        <v>77545</v>
      </c>
      <c r="J90">
        <v>48</v>
      </c>
      <c r="K90" t="str">
        <f t="shared" si="4"/>
        <v>Needs Improvement</v>
      </c>
      <c r="L90">
        <f t="shared" si="5"/>
        <v>0</v>
      </c>
      <c r="M90" t="s">
        <v>232</v>
      </c>
    </row>
    <row r="91" spans="1:13">
      <c r="A91" t="s">
        <v>134</v>
      </c>
      <c r="B91" t="s">
        <v>115</v>
      </c>
      <c r="C91" t="s">
        <v>18</v>
      </c>
      <c r="D91" t="str">
        <f t="shared" si="3"/>
        <v>William Gonzalez</v>
      </c>
      <c r="E91" t="s">
        <v>28</v>
      </c>
      <c r="F91" t="str">
        <f>VLOOKUP(E91, Lookup_Departments!A:B, 2, FALSE)</f>
        <v>Operations</v>
      </c>
      <c r="G91" s="2">
        <v>43436</v>
      </c>
      <c r="H91" s="6" t="s">
        <v>224</v>
      </c>
      <c r="I91" s="5">
        <v>68683</v>
      </c>
      <c r="J91">
        <v>90</v>
      </c>
      <c r="K91" t="str">
        <f t="shared" si="4"/>
        <v>Exceeding</v>
      </c>
      <c r="L91">
        <f t="shared" si="5"/>
        <v>5494.64</v>
      </c>
      <c r="M91" t="s">
        <v>232</v>
      </c>
    </row>
    <row r="92" spans="1:13">
      <c r="A92" t="s">
        <v>135</v>
      </c>
      <c r="B92" t="s">
        <v>24</v>
      </c>
      <c r="C92" t="s">
        <v>47</v>
      </c>
      <c r="D92" t="str">
        <f t="shared" si="3"/>
        <v>Thomas Jones</v>
      </c>
      <c r="E92" t="s">
        <v>22</v>
      </c>
      <c r="F92" t="str">
        <f>VLOOKUP(E92, Lookup_Departments!A:B, 2, FALSE)</f>
        <v>Finance</v>
      </c>
      <c r="G92" s="2">
        <v>43639</v>
      </c>
      <c r="H92" s="6" t="s">
        <v>224</v>
      </c>
      <c r="I92" s="5">
        <v>83932</v>
      </c>
      <c r="J92">
        <v>57</v>
      </c>
      <c r="K92" t="str">
        <f t="shared" si="4"/>
        <v>Developing</v>
      </c>
      <c r="L92">
        <f t="shared" si="5"/>
        <v>1678.64</v>
      </c>
      <c r="M92" t="s">
        <v>233</v>
      </c>
    </row>
    <row r="93" spans="1:13">
      <c r="A93" t="s">
        <v>136</v>
      </c>
      <c r="B93" t="s">
        <v>32</v>
      </c>
      <c r="C93" t="s">
        <v>99</v>
      </c>
      <c r="D93" t="str">
        <f t="shared" si="3"/>
        <v>Jessica Anderson</v>
      </c>
      <c r="E93" t="s">
        <v>73</v>
      </c>
      <c r="F93" t="str">
        <f>VLOOKUP(E93, Lookup_Departments!A:B, 2, FALSE)</f>
        <v>Human Resources</v>
      </c>
      <c r="G93" s="2">
        <v>42304</v>
      </c>
      <c r="H93" s="6" t="s">
        <v>218</v>
      </c>
      <c r="I93" s="5">
        <v>56073</v>
      </c>
      <c r="J93">
        <v>79</v>
      </c>
      <c r="K93" t="str">
        <f t="shared" si="4"/>
        <v>Achieving</v>
      </c>
      <c r="L93">
        <f t="shared" si="5"/>
        <v>2803.65</v>
      </c>
      <c r="M93" t="s">
        <v>232</v>
      </c>
    </row>
    <row r="94" spans="1:13">
      <c r="A94" t="s">
        <v>137</v>
      </c>
      <c r="B94" t="s">
        <v>78</v>
      </c>
      <c r="C94" t="s">
        <v>27</v>
      </c>
      <c r="D94" t="str">
        <f t="shared" si="3"/>
        <v>Melissa Johnson</v>
      </c>
      <c r="E94" t="s">
        <v>11</v>
      </c>
      <c r="F94" t="str">
        <f>VLOOKUP(E94, Lookup_Departments!A:B, 2, FALSE)</f>
        <v>Information Technology</v>
      </c>
      <c r="G94" s="2">
        <v>43270</v>
      </c>
      <c r="H94" s="6" t="s">
        <v>216</v>
      </c>
      <c r="I94" s="5">
        <v>88056</v>
      </c>
      <c r="J94">
        <v>66</v>
      </c>
      <c r="K94" t="str">
        <f t="shared" si="4"/>
        <v>Developing</v>
      </c>
      <c r="L94">
        <f t="shared" si="5"/>
        <v>1761.1200000000001</v>
      </c>
      <c r="M94" t="s">
        <v>232</v>
      </c>
    </row>
    <row r="95" spans="1:13">
      <c r="A95" t="s">
        <v>138</v>
      </c>
      <c r="B95" t="s">
        <v>24</v>
      </c>
      <c r="C95" t="s">
        <v>39</v>
      </c>
      <c r="D95" t="str">
        <f t="shared" si="3"/>
        <v>Thomas Miller</v>
      </c>
      <c r="E95" t="s">
        <v>28</v>
      </c>
      <c r="F95" t="str">
        <f>VLOOKUP(E95, Lookup_Departments!A:B, 2, FALSE)</f>
        <v>Operations</v>
      </c>
      <c r="G95" s="2">
        <v>43112</v>
      </c>
      <c r="H95" s="6" t="s">
        <v>216</v>
      </c>
      <c r="I95" s="5">
        <v>67414</v>
      </c>
      <c r="J95">
        <v>84</v>
      </c>
      <c r="K95" t="str">
        <f t="shared" si="4"/>
        <v>Achieving</v>
      </c>
      <c r="L95">
        <f t="shared" si="5"/>
        <v>3370.7000000000003</v>
      </c>
      <c r="M95" t="s">
        <v>233</v>
      </c>
    </row>
    <row r="96" spans="1:13">
      <c r="A96" t="s">
        <v>139</v>
      </c>
      <c r="B96" t="s">
        <v>115</v>
      </c>
      <c r="C96" t="s">
        <v>18</v>
      </c>
      <c r="D96" t="str">
        <f t="shared" si="3"/>
        <v>William Gonzalez</v>
      </c>
      <c r="E96" t="s">
        <v>37</v>
      </c>
      <c r="F96" t="str">
        <f>VLOOKUP(E96, Lookup_Departments!A:B, 2, FALSE)</f>
        <v>Sales</v>
      </c>
      <c r="G96" s="2">
        <v>42008</v>
      </c>
      <c r="H96" s="6" t="s">
        <v>225</v>
      </c>
      <c r="I96" s="5">
        <v>115288</v>
      </c>
      <c r="J96">
        <v>61</v>
      </c>
      <c r="K96" t="str">
        <f t="shared" si="4"/>
        <v>Developing</v>
      </c>
      <c r="L96">
        <f t="shared" si="5"/>
        <v>2305.7600000000002</v>
      </c>
      <c r="M96" t="s">
        <v>232</v>
      </c>
    </row>
    <row r="97" spans="1:13">
      <c r="A97" t="s">
        <v>140</v>
      </c>
      <c r="B97" t="s">
        <v>212</v>
      </c>
      <c r="C97" t="s">
        <v>25</v>
      </c>
      <c r="D97" t="str">
        <f t="shared" si="3"/>
        <v>Unknown Smith</v>
      </c>
      <c r="E97" t="s">
        <v>37</v>
      </c>
      <c r="F97" t="str">
        <f>VLOOKUP(E97, Lookup_Departments!A:B, 2, FALSE)</f>
        <v>Sales</v>
      </c>
      <c r="G97" s="2">
        <v>43439</v>
      </c>
      <c r="H97" s="6" t="s">
        <v>224</v>
      </c>
      <c r="I97" s="5">
        <v>80140</v>
      </c>
      <c r="J97">
        <v>58</v>
      </c>
      <c r="K97" t="str">
        <f t="shared" si="4"/>
        <v>Developing</v>
      </c>
      <c r="L97">
        <f t="shared" si="5"/>
        <v>1602.8</v>
      </c>
      <c r="M97" t="s">
        <v>232</v>
      </c>
    </row>
    <row r="98" spans="1:13">
      <c r="A98" t="s">
        <v>141</v>
      </c>
      <c r="B98" t="s">
        <v>20</v>
      </c>
      <c r="C98" t="s">
        <v>27</v>
      </c>
      <c r="D98" t="str">
        <f t="shared" si="3"/>
        <v>John Johnson</v>
      </c>
      <c r="E98" t="s">
        <v>11</v>
      </c>
      <c r="F98" t="str">
        <f>VLOOKUP(E98, Lookup_Departments!A:B, 2, FALSE)</f>
        <v>Information Technology</v>
      </c>
      <c r="G98" s="2">
        <v>44482</v>
      </c>
      <c r="H98" s="6" t="s">
        <v>217</v>
      </c>
      <c r="I98" s="5">
        <v>73087</v>
      </c>
      <c r="J98">
        <v>69</v>
      </c>
      <c r="K98" t="str">
        <f t="shared" si="4"/>
        <v>Developing</v>
      </c>
      <c r="L98">
        <f t="shared" si="5"/>
        <v>1461.74</v>
      </c>
      <c r="M98" t="s">
        <v>232</v>
      </c>
    </row>
    <row r="99" spans="1:13">
      <c r="A99" t="s">
        <v>142</v>
      </c>
      <c r="B99" t="s">
        <v>42</v>
      </c>
      <c r="C99" t="s">
        <v>27</v>
      </c>
      <c r="D99" t="str">
        <f t="shared" si="3"/>
        <v>Jane Johnson</v>
      </c>
      <c r="E99" t="s">
        <v>37</v>
      </c>
      <c r="F99" t="str">
        <f>VLOOKUP(E99, Lookup_Departments!A:B, 2, FALSE)</f>
        <v>Sales</v>
      </c>
      <c r="G99" s="2">
        <v>44081</v>
      </c>
      <c r="H99" s="6" t="s">
        <v>222</v>
      </c>
      <c r="I99" s="5">
        <v>95292</v>
      </c>
      <c r="J99">
        <v>34</v>
      </c>
      <c r="K99" t="str">
        <f t="shared" si="4"/>
        <v>Needs Improvement</v>
      </c>
      <c r="L99">
        <f t="shared" si="5"/>
        <v>0</v>
      </c>
      <c r="M99" t="s">
        <v>232</v>
      </c>
    </row>
    <row r="100" spans="1:13">
      <c r="A100" t="s">
        <v>143</v>
      </c>
      <c r="B100" t="s">
        <v>20</v>
      </c>
      <c r="C100" t="s">
        <v>47</v>
      </c>
      <c r="D100" t="str">
        <f t="shared" si="3"/>
        <v>John Jones</v>
      </c>
      <c r="E100" t="s">
        <v>11</v>
      </c>
      <c r="F100" t="str">
        <f>VLOOKUP(E100, Lookup_Departments!A:B, 2, FALSE)</f>
        <v>Information Technology</v>
      </c>
      <c r="G100" s="2">
        <v>43532</v>
      </c>
      <c r="H100" s="6" t="s">
        <v>224</v>
      </c>
      <c r="I100" s="5">
        <v>0</v>
      </c>
      <c r="J100">
        <v>33</v>
      </c>
      <c r="K100" t="str">
        <f t="shared" si="4"/>
        <v>Needs Improvement</v>
      </c>
      <c r="L100">
        <f t="shared" si="5"/>
        <v>0</v>
      </c>
      <c r="M100" t="s">
        <v>232</v>
      </c>
    </row>
    <row r="101" spans="1:13">
      <c r="A101" t="s">
        <v>144</v>
      </c>
      <c r="B101" t="s">
        <v>42</v>
      </c>
      <c r="C101" t="s">
        <v>55</v>
      </c>
      <c r="D101" t="str">
        <f t="shared" si="3"/>
        <v>Jane Lopez</v>
      </c>
      <c r="E101" t="s">
        <v>15</v>
      </c>
      <c r="F101" t="str">
        <f>VLOOKUP(E101, Lookup_Departments!A:B, 2, FALSE)</f>
        <v>Marketing</v>
      </c>
      <c r="G101" s="2">
        <v>42074</v>
      </c>
      <c r="H101" s="6" t="s">
        <v>225</v>
      </c>
      <c r="I101" s="5">
        <v>101750</v>
      </c>
      <c r="J101">
        <v>84</v>
      </c>
      <c r="K101" t="str">
        <f t="shared" si="4"/>
        <v>Achieving</v>
      </c>
      <c r="L101">
        <f t="shared" si="5"/>
        <v>5087.5</v>
      </c>
      <c r="M101" t="s">
        <v>233</v>
      </c>
    </row>
    <row r="102" spans="1:13">
      <c r="A102" t="s">
        <v>145</v>
      </c>
      <c r="B102" t="s">
        <v>78</v>
      </c>
      <c r="C102" t="s">
        <v>18</v>
      </c>
      <c r="D102" t="str">
        <f t="shared" si="3"/>
        <v>Melissa Gonzalez</v>
      </c>
      <c r="E102" t="s">
        <v>15</v>
      </c>
      <c r="F102" t="str">
        <f>VLOOKUP(E102, Lookup_Departments!A:B, 2, FALSE)</f>
        <v>Marketing</v>
      </c>
      <c r="G102" s="2">
        <v>42785</v>
      </c>
      <c r="H102" s="6" t="s">
        <v>223</v>
      </c>
      <c r="I102" s="5">
        <v>82992</v>
      </c>
      <c r="J102">
        <v>79</v>
      </c>
      <c r="K102" t="str">
        <f t="shared" si="4"/>
        <v>Achieving</v>
      </c>
      <c r="L102">
        <f t="shared" si="5"/>
        <v>4149.6000000000004</v>
      </c>
      <c r="M102" t="s">
        <v>232</v>
      </c>
    </row>
    <row r="103" spans="1:13">
      <c r="A103" t="s">
        <v>146</v>
      </c>
      <c r="B103" t="s">
        <v>115</v>
      </c>
      <c r="C103" t="s">
        <v>50</v>
      </c>
      <c r="D103" t="str">
        <f t="shared" si="3"/>
        <v>William Davis</v>
      </c>
      <c r="E103" t="s">
        <v>11</v>
      </c>
      <c r="F103" t="str">
        <f>VLOOKUP(E103, Lookup_Departments!A:B, 2, FALSE)</f>
        <v>Information Technology</v>
      </c>
      <c r="G103" s="2">
        <v>45055</v>
      </c>
      <c r="H103" s="6" t="s">
        <v>219</v>
      </c>
      <c r="I103" s="5">
        <v>49942</v>
      </c>
      <c r="J103">
        <v>51</v>
      </c>
      <c r="K103" t="str">
        <f t="shared" si="4"/>
        <v>Developing</v>
      </c>
      <c r="L103">
        <f t="shared" si="5"/>
        <v>998.84</v>
      </c>
      <c r="M103" t="s">
        <v>232</v>
      </c>
    </row>
    <row r="104" spans="1:13">
      <c r="A104" t="s">
        <v>147</v>
      </c>
      <c r="B104" t="s">
        <v>20</v>
      </c>
      <c r="C104" t="s">
        <v>25</v>
      </c>
      <c r="D104" t="str">
        <f t="shared" si="3"/>
        <v>John Smith</v>
      </c>
      <c r="E104" t="s">
        <v>28</v>
      </c>
      <c r="F104" t="str">
        <f>VLOOKUP(E104, Lookup_Departments!A:B, 2, FALSE)</f>
        <v>Operations</v>
      </c>
      <c r="G104" s="2">
        <v>43122</v>
      </c>
      <c r="H104" s="6" t="s">
        <v>216</v>
      </c>
      <c r="I104" s="5">
        <v>89060</v>
      </c>
      <c r="J104">
        <v>58</v>
      </c>
      <c r="K104" t="str">
        <f t="shared" si="4"/>
        <v>Developing</v>
      </c>
      <c r="L104">
        <f t="shared" si="5"/>
        <v>1781.2</v>
      </c>
      <c r="M104" t="s">
        <v>232</v>
      </c>
    </row>
    <row r="105" spans="1:13">
      <c r="A105" t="s">
        <v>148</v>
      </c>
      <c r="B105" t="s">
        <v>52</v>
      </c>
      <c r="C105" t="s">
        <v>18</v>
      </c>
      <c r="D105" t="str">
        <f t="shared" si="3"/>
        <v>James Gonzalez</v>
      </c>
      <c r="E105" t="s">
        <v>11</v>
      </c>
      <c r="F105" t="str">
        <f>VLOOKUP(E105, Lookup_Departments!A:B, 2, FALSE)</f>
        <v>Information Technology</v>
      </c>
      <c r="G105" s="2">
        <v>43879</v>
      </c>
      <c r="H105" s="6" t="s">
        <v>220</v>
      </c>
      <c r="I105" s="5">
        <v>53786</v>
      </c>
      <c r="J105">
        <v>98</v>
      </c>
      <c r="K105" t="str">
        <f t="shared" si="4"/>
        <v>Outstanding</v>
      </c>
      <c r="L105">
        <f t="shared" si="5"/>
        <v>6454.32</v>
      </c>
      <c r="M105" t="s">
        <v>232</v>
      </c>
    </row>
    <row r="106" spans="1:13">
      <c r="A106" t="s">
        <v>149</v>
      </c>
      <c r="B106" t="s">
        <v>9</v>
      </c>
      <c r="C106" t="s">
        <v>27</v>
      </c>
      <c r="D106" t="str">
        <f t="shared" si="3"/>
        <v>Emily Johnson</v>
      </c>
      <c r="E106" t="s">
        <v>28</v>
      </c>
      <c r="F106" t="str">
        <f>VLOOKUP(E106, Lookup_Departments!A:B, 2, FALSE)</f>
        <v>Operations</v>
      </c>
      <c r="G106" s="2">
        <v>42512</v>
      </c>
      <c r="H106" s="6" t="s">
        <v>218</v>
      </c>
      <c r="I106" s="5">
        <v>81167</v>
      </c>
      <c r="J106">
        <v>0</v>
      </c>
      <c r="K106" t="str">
        <f t="shared" si="4"/>
        <v>Needs Improvement</v>
      </c>
      <c r="L106">
        <f t="shared" si="5"/>
        <v>0</v>
      </c>
      <c r="M106" t="s">
        <v>232</v>
      </c>
    </row>
    <row r="107" spans="1:13">
      <c r="A107" t="s">
        <v>150</v>
      </c>
      <c r="B107" t="s">
        <v>115</v>
      </c>
      <c r="C107" t="s">
        <v>43</v>
      </c>
      <c r="D107" t="str">
        <f t="shared" si="3"/>
        <v>William Williams</v>
      </c>
      <c r="E107" t="s">
        <v>15</v>
      </c>
      <c r="F107" t="str">
        <f>VLOOKUP(E107, Lookup_Departments!A:B, 2, FALSE)</f>
        <v>Marketing</v>
      </c>
      <c r="G107" s="2">
        <v>44349</v>
      </c>
      <c r="H107" s="6" t="s">
        <v>222</v>
      </c>
      <c r="I107" s="5">
        <v>66688</v>
      </c>
      <c r="J107">
        <v>40</v>
      </c>
      <c r="K107" t="str">
        <f t="shared" si="4"/>
        <v>Needs Improvement</v>
      </c>
      <c r="L107">
        <f t="shared" si="5"/>
        <v>0</v>
      </c>
      <c r="M107" t="s">
        <v>233</v>
      </c>
    </row>
    <row r="108" spans="1:13">
      <c r="A108" t="s">
        <v>151</v>
      </c>
      <c r="B108" t="s">
        <v>52</v>
      </c>
      <c r="C108" t="s">
        <v>47</v>
      </c>
      <c r="D108" t="str">
        <f t="shared" si="3"/>
        <v>James Jones</v>
      </c>
      <c r="E108" t="s">
        <v>11</v>
      </c>
      <c r="F108" t="str">
        <f>VLOOKUP(E108, Lookup_Departments!A:B, 2, FALSE)</f>
        <v>Information Technology</v>
      </c>
      <c r="G108" s="2">
        <v>44394</v>
      </c>
      <c r="H108" s="6" t="s">
        <v>217</v>
      </c>
      <c r="I108" s="5">
        <v>91672</v>
      </c>
      <c r="J108">
        <v>88</v>
      </c>
      <c r="K108" t="str">
        <f t="shared" si="4"/>
        <v>Exceeding</v>
      </c>
      <c r="L108">
        <f t="shared" si="5"/>
        <v>7333.76</v>
      </c>
      <c r="M108" t="s">
        <v>232</v>
      </c>
    </row>
    <row r="109" spans="1:13">
      <c r="A109" t="s">
        <v>152</v>
      </c>
      <c r="B109" t="s">
        <v>32</v>
      </c>
      <c r="C109" t="s">
        <v>18</v>
      </c>
      <c r="D109" t="str">
        <f t="shared" si="3"/>
        <v>Jessica Gonzalez</v>
      </c>
      <c r="E109" t="s">
        <v>73</v>
      </c>
      <c r="F109" t="str">
        <f>VLOOKUP(E109, Lookup_Departments!A:B, 2, FALSE)</f>
        <v>Human Resources</v>
      </c>
      <c r="G109" s="2">
        <v>42687</v>
      </c>
      <c r="H109" s="6" t="s">
        <v>223</v>
      </c>
      <c r="I109" s="5">
        <v>77737</v>
      </c>
      <c r="J109">
        <v>77</v>
      </c>
      <c r="K109" t="str">
        <f t="shared" si="4"/>
        <v>Achieving</v>
      </c>
      <c r="L109">
        <f t="shared" si="5"/>
        <v>3886.8500000000004</v>
      </c>
      <c r="M109" t="s">
        <v>232</v>
      </c>
    </row>
    <row r="110" spans="1:13">
      <c r="A110" t="s">
        <v>153</v>
      </c>
      <c r="B110" t="s">
        <v>71</v>
      </c>
      <c r="C110" t="s">
        <v>39</v>
      </c>
      <c r="D110" t="str">
        <f t="shared" si="3"/>
        <v>Sarah Miller</v>
      </c>
      <c r="E110" t="s">
        <v>37</v>
      </c>
      <c r="F110" t="str">
        <f>VLOOKUP(E110, Lookup_Departments!A:B, 2, FALSE)</f>
        <v>Sales</v>
      </c>
      <c r="G110" s="2">
        <v>43513</v>
      </c>
      <c r="H110" s="6" t="s">
        <v>224</v>
      </c>
      <c r="I110" s="5">
        <v>95686</v>
      </c>
      <c r="J110">
        <v>91</v>
      </c>
      <c r="K110" t="str">
        <f t="shared" si="4"/>
        <v>Exceeding</v>
      </c>
      <c r="L110">
        <f t="shared" si="5"/>
        <v>7654.88</v>
      </c>
      <c r="M110" t="s">
        <v>232</v>
      </c>
    </row>
    <row r="111" spans="1:13">
      <c r="A111" t="s">
        <v>154</v>
      </c>
      <c r="B111" t="s">
        <v>32</v>
      </c>
      <c r="C111" t="s">
        <v>25</v>
      </c>
      <c r="D111" t="str">
        <f t="shared" si="3"/>
        <v>Jessica Smith</v>
      </c>
      <c r="E111" t="s">
        <v>37</v>
      </c>
      <c r="F111" t="str">
        <f>VLOOKUP(E111, Lookup_Departments!A:B, 2, FALSE)</f>
        <v>Sales</v>
      </c>
      <c r="G111" s="2">
        <v>42625</v>
      </c>
      <c r="H111" s="6" t="s">
        <v>223</v>
      </c>
      <c r="I111" s="5">
        <v>114681</v>
      </c>
      <c r="J111">
        <v>36</v>
      </c>
      <c r="K111" t="str">
        <f t="shared" si="4"/>
        <v>Needs Improvement</v>
      </c>
      <c r="L111">
        <f t="shared" si="5"/>
        <v>0</v>
      </c>
      <c r="M111" t="s">
        <v>232</v>
      </c>
    </row>
    <row r="112" spans="1:13">
      <c r="A112" t="s">
        <v>155</v>
      </c>
      <c r="B112" t="s">
        <v>24</v>
      </c>
      <c r="C112" t="s">
        <v>47</v>
      </c>
      <c r="D112" t="str">
        <f t="shared" si="3"/>
        <v>Thomas Jones</v>
      </c>
      <c r="E112" t="s">
        <v>28</v>
      </c>
      <c r="F112" t="str">
        <f>VLOOKUP(E112, Lookup_Departments!A:B, 2, FALSE)</f>
        <v>Operations</v>
      </c>
      <c r="G112" s="2">
        <v>44421</v>
      </c>
      <c r="H112" s="6" t="s">
        <v>217</v>
      </c>
      <c r="I112" s="5">
        <v>109121</v>
      </c>
      <c r="J112">
        <v>72</v>
      </c>
      <c r="K112" t="str">
        <f t="shared" si="4"/>
        <v>Achieving</v>
      </c>
      <c r="L112">
        <f t="shared" si="5"/>
        <v>5456.05</v>
      </c>
      <c r="M112" t="s">
        <v>232</v>
      </c>
    </row>
    <row r="113" spans="1:13">
      <c r="A113" t="s">
        <v>156</v>
      </c>
      <c r="B113" t="s">
        <v>57</v>
      </c>
      <c r="C113" t="s">
        <v>10</v>
      </c>
      <c r="D113" t="str">
        <f t="shared" si="3"/>
        <v>Amanda Brown</v>
      </c>
      <c r="E113" t="s">
        <v>15</v>
      </c>
      <c r="F113" t="str">
        <f>VLOOKUP(E113, Lookup_Departments!A:B, 2, FALSE)</f>
        <v>Marketing</v>
      </c>
      <c r="G113" s="2">
        <v>43996</v>
      </c>
      <c r="H113" s="6" t="s">
        <v>220</v>
      </c>
      <c r="I113" s="5">
        <v>112791</v>
      </c>
      <c r="J113">
        <v>87</v>
      </c>
      <c r="K113" t="str">
        <f t="shared" si="4"/>
        <v>Exceeding</v>
      </c>
      <c r="L113">
        <f t="shared" si="5"/>
        <v>9023.2800000000007</v>
      </c>
      <c r="M113" t="s">
        <v>232</v>
      </c>
    </row>
    <row r="114" spans="1:13">
      <c r="A114" t="s">
        <v>157</v>
      </c>
      <c r="B114" t="s">
        <v>46</v>
      </c>
      <c r="C114" t="s">
        <v>21</v>
      </c>
      <c r="D114" t="str">
        <f t="shared" si="3"/>
        <v>Robert Martinez</v>
      </c>
      <c r="E114" t="s">
        <v>11</v>
      </c>
      <c r="F114" t="str">
        <f>VLOOKUP(E114, Lookup_Departments!A:B, 2, FALSE)</f>
        <v>Information Technology</v>
      </c>
      <c r="G114" s="2">
        <v>44747</v>
      </c>
      <c r="H114" s="6" t="s">
        <v>219</v>
      </c>
      <c r="I114" s="5">
        <v>118008</v>
      </c>
      <c r="J114">
        <v>71</v>
      </c>
      <c r="K114" t="str">
        <f t="shared" si="4"/>
        <v>Achieving</v>
      </c>
      <c r="L114">
        <f t="shared" si="5"/>
        <v>5900.4000000000005</v>
      </c>
      <c r="M114" t="s">
        <v>232</v>
      </c>
    </row>
    <row r="115" spans="1:13">
      <c r="A115" t="s">
        <v>158</v>
      </c>
      <c r="B115" t="s">
        <v>24</v>
      </c>
      <c r="C115" t="s">
        <v>39</v>
      </c>
      <c r="D115" t="str">
        <f t="shared" si="3"/>
        <v>Thomas Miller</v>
      </c>
      <c r="E115" t="s">
        <v>11</v>
      </c>
      <c r="F115" t="str">
        <f>VLOOKUP(E115, Lookup_Departments!A:B, 2, FALSE)</f>
        <v>Information Technology</v>
      </c>
      <c r="G115" s="2">
        <v>42561</v>
      </c>
      <c r="H115" s="6" t="s">
        <v>223</v>
      </c>
      <c r="I115" s="5">
        <v>74370</v>
      </c>
      <c r="J115">
        <v>82</v>
      </c>
      <c r="K115" t="str">
        <f t="shared" si="4"/>
        <v>Achieving</v>
      </c>
      <c r="L115">
        <f t="shared" si="5"/>
        <v>3718.5</v>
      </c>
      <c r="M115" t="s">
        <v>232</v>
      </c>
    </row>
    <row r="116" spans="1:13">
      <c r="A116" t="s">
        <v>159</v>
      </c>
      <c r="B116" t="s">
        <v>83</v>
      </c>
      <c r="C116" t="s">
        <v>34</v>
      </c>
      <c r="D116" t="str">
        <f t="shared" si="3"/>
        <v>David Rodriguez</v>
      </c>
      <c r="E116" t="s">
        <v>11</v>
      </c>
      <c r="F116" t="str">
        <f>VLOOKUP(E116, Lookup_Departments!A:B, 2, FALSE)</f>
        <v>Information Technology</v>
      </c>
      <c r="G116" s="2">
        <v>44674</v>
      </c>
      <c r="H116" s="6" t="s">
        <v>217</v>
      </c>
      <c r="I116" s="5">
        <v>77819</v>
      </c>
      <c r="J116">
        <v>79</v>
      </c>
      <c r="K116" t="str">
        <f t="shared" si="4"/>
        <v>Achieving</v>
      </c>
      <c r="L116">
        <f t="shared" si="5"/>
        <v>3890.9500000000003</v>
      </c>
      <c r="M116" t="s">
        <v>232</v>
      </c>
    </row>
    <row r="117" spans="1:13">
      <c r="A117" t="s">
        <v>160</v>
      </c>
      <c r="B117" t="s">
        <v>42</v>
      </c>
      <c r="C117" t="s">
        <v>39</v>
      </c>
      <c r="D117" t="str">
        <f t="shared" si="3"/>
        <v>Jane Miller</v>
      </c>
      <c r="E117" t="s">
        <v>15</v>
      </c>
      <c r="F117" t="str">
        <f>VLOOKUP(E117, Lookup_Departments!A:B, 2, FALSE)</f>
        <v>Marketing</v>
      </c>
      <c r="G117" s="2">
        <v>42865</v>
      </c>
      <c r="H117" s="6" t="s">
        <v>223</v>
      </c>
      <c r="I117" s="5">
        <v>48748</v>
      </c>
      <c r="J117">
        <v>83</v>
      </c>
      <c r="K117" t="str">
        <f t="shared" si="4"/>
        <v>Achieving</v>
      </c>
      <c r="L117">
        <f t="shared" si="5"/>
        <v>2437.4</v>
      </c>
      <c r="M117" t="s">
        <v>232</v>
      </c>
    </row>
    <row r="118" spans="1:13">
      <c r="A118" t="s">
        <v>161</v>
      </c>
      <c r="B118" t="s">
        <v>52</v>
      </c>
      <c r="C118" t="s">
        <v>34</v>
      </c>
      <c r="D118" t="str">
        <f t="shared" si="3"/>
        <v>James Rodriguez</v>
      </c>
      <c r="E118" t="s">
        <v>28</v>
      </c>
      <c r="F118" t="str">
        <f>VLOOKUP(E118, Lookup_Departments!A:B, 2, FALSE)</f>
        <v>Operations</v>
      </c>
      <c r="G118" s="2">
        <v>43971</v>
      </c>
      <c r="H118" s="6" t="s">
        <v>220</v>
      </c>
      <c r="I118" s="5">
        <v>101997</v>
      </c>
      <c r="J118">
        <v>38</v>
      </c>
      <c r="K118" t="str">
        <f t="shared" si="4"/>
        <v>Needs Improvement</v>
      </c>
      <c r="L118">
        <f t="shared" si="5"/>
        <v>0</v>
      </c>
      <c r="M118" t="s">
        <v>234</v>
      </c>
    </row>
    <row r="119" spans="1:13">
      <c r="A119" t="s">
        <v>162</v>
      </c>
      <c r="B119" t="s">
        <v>71</v>
      </c>
      <c r="C119" t="s">
        <v>34</v>
      </c>
      <c r="D119" t="str">
        <f t="shared" si="3"/>
        <v>Sarah Rodriguez</v>
      </c>
      <c r="E119" t="s">
        <v>73</v>
      </c>
      <c r="F119" t="str">
        <f>VLOOKUP(E119, Lookup_Departments!A:B, 2, FALSE)</f>
        <v>Human Resources</v>
      </c>
      <c r="G119" s="2">
        <v>45036</v>
      </c>
      <c r="H119" s="6" t="s">
        <v>219</v>
      </c>
      <c r="I119" s="5">
        <v>115260</v>
      </c>
      <c r="J119">
        <v>77</v>
      </c>
      <c r="K119" t="str">
        <f t="shared" si="4"/>
        <v>Achieving</v>
      </c>
      <c r="L119">
        <f t="shared" si="5"/>
        <v>5763</v>
      </c>
      <c r="M119" t="s">
        <v>232</v>
      </c>
    </row>
    <row r="120" spans="1:13">
      <c r="A120" t="s">
        <v>163</v>
      </c>
      <c r="B120" t="s">
        <v>71</v>
      </c>
      <c r="C120" t="s">
        <v>30</v>
      </c>
      <c r="D120" t="str">
        <f t="shared" si="3"/>
        <v>Sarah Wilson</v>
      </c>
      <c r="E120" t="s">
        <v>37</v>
      </c>
      <c r="F120" t="str">
        <f>VLOOKUP(E120, Lookup_Departments!A:B, 2, FALSE)</f>
        <v>Sales</v>
      </c>
      <c r="G120" s="2">
        <v>44500</v>
      </c>
      <c r="H120" s="6" t="s">
        <v>217</v>
      </c>
      <c r="I120" s="5">
        <v>0</v>
      </c>
      <c r="J120">
        <v>49</v>
      </c>
      <c r="K120" t="str">
        <f t="shared" si="4"/>
        <v>Needs Improvement</v>
      </c>
      <c r="L120">
        <f t="shared" si="5"/>
        <v>0</v>
      </c>
      <c r="M120" t="s">
        <v>232</v>
      </c>
    </row>
    <row r="121" spans="1:13">
      <c r="A121" t="s">
        <v>164</v>
      </c>
      <c r="B121" t="s">
        <v>78</v>
      </c>
      <c r="C121" t="s">
        <v>10</v>
      </c>
      <c r="D121" t="str">
        <f t="shared" si="3"/>
        <v>Melissa Brown</v>
      </c>
      <c r="E121" t="s">
        <v>11</v>
      </c>
      <c r="F121" t="str">
        <f>VLOOKUP(E121, Lookup_Departments!A:B, 2, FALSE)</f>
        <v>Information Technology</v>
      </c>
      <c r="G121" s="2">
        <v>44493</v>
      </c>
      <c r="H121" s="6" t="s">
        <v>217</v>
      </c>
      <c r="I121" s="5">
        <v>0</v>
      </c>
      <c r="J121">
        <v>69</v>
      </c>
      <c r="K121" t="str">
        <f t="shared" si="4"/>
        <v>Developing</v>
      </c>
      <c r="L121">
        <f t="shared" si="5"/>
        <v>0</v>
      </c>
      <c r="M121" t="s">
        <v>233</v>
      </c>
    </row>
    <row r="122" spans="1:13">
      <c r="A122" t="s">
        <v>165</v>
      </c>
      <c r="B122" t="s">
        <v>46</v>
      </c>
      <c r="C122" t="s">
        <v>43</v>
      </c>
      <c r="D122" t="str">
        <f t="shared" si="3"/>
        <v>Robert Williams</v>
      </c>
      <c r="E122" t="s">
        <v>37</v>
      </c>
      <c r="F122" t="str">
        <f>VLOOKUP(E122, Lookup_Departments!A:B, 2, FALSE)</f>
        <v>Sales</v>
      </c>
      <c r="G122" s="2">
        <v>42956</v>
      </c>
      <c r="H122" s="6" t="s">
        <v>216</v>
      </c>
      <c r="I122" s="5">
        <v>0</v>
      </c>
      <c r="J122">
        <v>76</v>
      </c>
      <c r="K122" t="str">
        <f t="shared" si="4"/>
        <v>Achieving</v>
      </c>
      <c r="L122">
        <f t="shared" si="5"/>
        <v>0</v>
      </c>
      <c r="M122" t="s">
        <v>232</v>
      </c>
    </row>
    <row r="123" spans="1:13">
      <c r="A123" t="s">
        <v>166</v>
      </c>
      <c r="B123" t="s">
        <v>78</v>
      </c>
      <c r="C123" t="s">
        <v>34</v>
      </c>
      <c r="D123" t="str">
        <f t="shared" si="3"/>
        <v>Melissa Rodriguez</v>
      </c>
      <c r="E123" t="s">
        <v>28</v>
      </c>
      <c r="F123" t="str">
        <f>VLOOKUP(E123, Lookup_Departments!A:B, 2, FALSE)</f>
        <v>Operations</v>
      </c>
      <c r="G123" s="2">
        <v>44930</v>
      </c>
      <c r="H123" s="6" t="s">
        <v>219</v>
      </c>
      <c r="I123" s="5">
        <v>60623</v>
      </c>
      <c r="J123">
        <v>78</v>
      </c>
      <c r="K123" t="str">
        <f t="shared" si="4"/>
        <v>Achieving</v>
      </c>
      <c r="L123">
        <f t="shared" si="5"/>
        <v>3031.15</v>
      </c>
      <c r="M123" t="s">
        <v>232</v>
      </c>
    </row>
    <row r="124" spans="1:13">
      <c r="A124" t="s">
        <v>167</v>
      </c>
      <c r="B124" t="s">
        <v>52</v>
      </c>
      <c r="C124" t="s">
        <v>27</v>
      </c>
      <c r="D124" t="str">
        <f t="shared" si="3"/>
        <v>James Johnson</v>
      </c>
      <c r="E124" t="s">
        <v>73</v>
      </c>
      <c r="F124" t="str">
        <f>VLOOKUP(E124, Lookup_Departments!A:B, 2, FALSE)</f>
        <v>Human Resources</v>
      </c>
      <c r="G124" s="2">
        <v>44053</v>
      </c>
      <c r="H124" s="6" t="s">
        <v>222</v>
      </c>
      <c r="I124" s="5">
        <v>68092</v>
      </c>
      <c r="J124">
        <v>93</v>
      </c>
      <c r="K124" t="str">
        <f t="shared" si="4"/>
        <v>Exceeding</v>
      </c>
      <c r="L124">
        <f t="shared" si="5"/>
        <v>5447.36</v>
      </c>
      <c r="M124" t="s">
        <v>232</v>
      </c>
    </row>
    <row r="125" spans="1:13">
      <c r="A125" t="s">
        <v>168</v>
      </c>
      <c r="B125" t="s">
        <v>36</v>
      </c>
      <c r="C125" t="s">
        <v>30</v>
      </c>
      <c r="D125" t="str">
        <f t="shared" si="3"/>
        <v>Michael Wilson</v>
      </c>
      <c r="E125" t="s">
        <v>15</v>
      </c>
      <c r="F125" t="str">
        <f>VLOOKUP(E125, Lookup_Departments!A:B, 2, FALSE)</f>
        <v>Marketing</v>
      </c>
      <c r="G125" s="2">
        <v>44653</v>
      </c>
      <c r="H125" s="6" t="s">
        <v>217</v>
      </c>
      <c r="I125" s="5">
        <v>88155</v>
      </c>
      <c r="J125">
        <v>68</v>
      </c>
      <c r="K125" t="str">
        <f t="shared" si="4"/>
        <v>Developing</v>
      </c>
      <c r="L125">
        <f t="shared" si="5"/>
        <v>1763.1000000000001</v>
      </c>
      <c r="M125" t="s">
        <v>232</v>
      </c>
    </row>
    <row r="126" spans="1:13">
      <c r="A126" t="s">
        <v>169</v>
      </c>
      <c r="B126" t="s">
        <v>115</v>
      </c>
      <c r="C126" t="s">
        <v>47</v>
      </c>
      <c r="D126" t="str">
        <f t="shared" si="3"/>
        <v>William Jones</v>
      </c>
      <c r="E126" t="s">
        <v>15</v>
      </c>
      <c r="F126" t="str">
        <f>VLOOKUP(E126, Lookup_Departments!A:B, 2, FALSE)</f>
        <v>Marketing</v>
      </c>
      <c r="G126" s="2">
        <v>43183</v>
      </c>
      <c r="H126" s="6" t="s">
        <v>216</v>
      </c>
      <c r="I126" s="5">
        <v>107903</v>
      </c>
      <c r="J126">
        <v>42</v>
      </c>
      <c r="K126" t="str">
        <f t="shared" si="4"/>
        <v>Needs Improvement</v>
      </c>
      <c r="L126">
        <f t="shared" si="5"/>
        <v>0</v>
      </c>
      <c r="M126" t="s">
        <v>232</v>
      </c>
    </row>
    <row r="127" spans="1:13">
      <c r="A127" t="s">
        <v>170</v>
      </c>
      <c r="B127" t="s">
        <v>115</v>
      </c>
      <c r="C127" t="s">
        <v>43</v>
      </c>
      <c r="D127" t="str">
        <f t="shared" si="3"/>
        <v>William Williams</v>
      </c>
      <c r="E127" t="s">
        <v>11</v>
      </c>
      <c r="F127" t="str">
        <f>VLOOKUP(E127, Lookup_Departments!A:B, 2, FALSE)</f>
        <v>Information Technology</v>
      </c>
      <c r="G127" s="2">
        <v>43305</v>
      </c>
      <c r="H127" s="6" t="s">
        <v>224</v>
      </c>
      <c r="I127" s="5">
        <v>62818</v>
      </c>
      <c r="J127">
        <v>34</v>
      </c>
      <c r="K127" t="str">
        <f t="shared" si="4"/>
        <v>Needs Improvement</v>
      </c>
      <c r="L127">
        <f t="shared" si="5"/>
        <v>0</v>
      </c>
      <c r="M127" t="s">
        <v>232</v>
      </c>
    </row>
    <row r="128" spans="1:13">
      <c r="A128" t="s">
        <v>171</v>
      </c>
      <c r="B128" t="s">
        <v>83</v>
      </c>
      <c r="C128" t="s">
        <v>43</v>
      </c>
      <c r="D128" t="str">
        <f t="shared" si="3"/>
        <v>David Williams</v>
      </c>
      <c r="E128" t="s">
        <v>73</v>
      </c>
      <c r="F128" t="str">
        <f>VLOOKUP(E128, Lookup_Departments!A:B, 2, FALSE)</f>
        <v>Human Resources</v>
      </c>
      <c r="G128" s="2">
        <v>43301</v>
      </c>
      <c r="H128" s="6" t="s">
        <v>224</v>
      </c>
      <c r="I128" s="5">
        <v>85151</v>
      </c>
      <c r="J128">
        <v>35</v>
      </c>
      <c r="K128" t="str">
        <f t="shared" si="4"/>
        <v>Needs Improvement</v>
      </c>
      <c r="L128">
        <f t="shared" si="5"/>
        <v>0</v>
      </c>
      <c r="M128" t="s">
        <v>232</v>
      </c>
    </row>
    <row r="129" spans="1:13">
      <c r="A129" t="s">
        <v>172</v>
      </c>
      <c r="B129" t="s">
        <v>42</v>
      </c>
      <c r="C129" t="s">
        <v>50</v>
      </c>
      <c r="D129" t="str">
        <f t="shared" si="3"/>
        <v>Jane Davis</v>
      </c>
      <c r="E129" t="s">
        <v>22</v>
      </c>
      <c r="F129" t="str">
        <f>VLOOKUP(E129, Lookup_Departments!A:B, 2, FALSE)</f>
        <v>Finance</v>
      </c>
      <c r="G129" s="2">
        <v>42433</v>
      </c>
      <c r="H129" s="6" t="s">
        <v>218</v>
      </c>
      <c r="I129" s="5">
        <v>46390</v>
      </c>
      <c r="J129">
        <v>95</v>
      </c>
      <c r="K129" t="str">
        <f t="shared" si="4"/>
        <v>Outstanding</v>
      </c>
      <c r="L129">
        <f t="shared" si="5"/>
        <v>5566.8</v>
      </c>
      <c r="M129" t="s">
        <v>232</v>
      </c>
    </row>
    <row r="130" spans="1:13">
      <c r="A130" t="s">
        <v>173</v>
      </c>
      <c r="B130" t="s">
        <v>20</v>
      </c>
      <c r="C130" t="s">
        <v>21</v>
      </c>
      <c r="D130" t="str">
        <f t="shared" si="3"/>
        <v>John Martinez</v>
      </c>
      <c r="E130" t="s">
        <v>73</v>
      </c>
      <c r="F130" t="str">
        <f>VLOOKUP(E130, Lookup_Departments!A:B, 2, FALSE)</f>
        <v>Human Resources</v>
      </c>
      <c r="G130" s="2">
        <v>44643</v>
      </c>
      <c r="H130" s="6" t="s">
        <v>217</v>
      </c>
      <c r="I130" s="5">
        <v>111920</v>
      </c>
      <c r="J130">
        <v>90</v>
      </c>
      <c r="K130" t="str">
        <f t="shared" si="4"/>
        <v>Exceeding</v>
      </c>
      <c r="L130">
        <f t="shared" si="5"/>
        <v>8953.6</v>
      </c>
      <c r="M130" t="s">
        <v>233</v>
      </c>
    </row>
    <row r="131" spans="1:13">
      <c r="A131" t="s">
        <v>174</v>
      </c>
      <c r="B131" t="s">
        <v>83</v>
      </c>
      <c r="C131" t="s">
        <v>99</v>
      </c>
      <c r="D131" t="str">
        <f t="shared" ref="D131:D151" si="6">TRIM(B131&amp; " "&amp;C131)</f>
        <v>David Anderson</v>
      </c>
      <c r="E131" t="s">
        <v>73</v>
      </c>
      <c r="F131" t="str">
        <f>VLOOKUP(E131, Lookup_Departments!A:B, 2, FALSE)</f>
        <v>Human Resources</v>
      </c>
      <c r="G131" s="2">
        <v>42944</v>
      </c>
      <c r="H131" s="6" t="s">
        <v>216</v>
      </c>
      <c r="I131" s="5">
        <v>115618</v>
      </c>
      <c r="J131">
        <v>42</v>
      </c>
      <c r="K131" t="str">
        <f t="shared" ref="K131:K151" si="7">_xlfn.IFS(J131&lt;=49,"Needs Improvement",J131&lt;=69,"Developing",J131&lt;=84,"Achieving",J131&lt;=94,"Exceeding",J131&lt;=100,"Outstanding")</f>
        <v>Needs Improvement</v>
      </c>
      <c r="L131">
        <f t="shared" ref="L131:L151" si="8">IF(K131="Needs Improvement",0,
IF(K131="Developing",I131*0.02,
IF(K131="Achieving",I131*0.05,
IF(K131="Exceeding",I131*0.08,
IF(K131="Outstanding",I131*0.12,0)))))</f>
        <v>0</v>
      </c>
      <c r="M131" t="s">
        <v>232</v>
      </c>
    </row>
    <row r="132" spans="1:13">
      <c r="A132" t="s">
        <v>175</v>
      </c>
      <c r="B132" t="s">
        <v>71</v>
      </c>
      <c r="C132" t="s">
        <v>25</v>
      </c>
      <c r="D132" t="str">
        <f t="shared" si="6"/>
        <v>Sarah Smith</v>
      </c>
      <c r="E132" t="s">
        <v>37</v>
      </c>
      <c r="F132" t="str">
        <f>VLOOKUP(E132, Lookup_Departments!A:B, 2, FALSE)</f>
        <v>Sales</v>
      </c>
      <c r="G132" s="2">
        <v>45057</v>
      </c>
      <c r="H132" s="6" t="s">
        <v>219</v>
      </c>
      <c r="I132" s="5">
        <v>110618</v>
      </c>
      <c r="J132">
        <v>88</v>
      </c>
      <c r="K132" t="str">
        <f t="shared" si="7"/>
        <v>Exceeding</v>
      </c>
      <c r="L132">
        <f t="shared" si="8"/>
        <v>8849.44</v>
      </c>
      <c r="M132" t="s">
        <v>234</v>
      </c>
    </row>
    <row r="133" spans="1:13">
      <c r="A133" t="s">
        <v>176</v>
      </c>
      <c r="B133" t="s">
        <v>78</v>
      </c>
      <c r="C133" t="s">
        <v>14</v>
      </c>
      <c r="D133" t="str">
        <f t="shared" si="6"/>
        <v>Melissa Hernandez</v>
      </c>
      <c r="E133" t="s">
        <v>28</v>
      </c>
      <c r="F133" t="str">
        <f>VLOOKUP(E133, Lookup_Departments!A:B, 2, FALSE)</f>
        <v>Operations</v>
      </c>
      <c r="G133" s="2">
        <v>44639</v>
      </c>
      <c r="H133" s="6" t="s">
        <v>217</v>
      </c>
      <c r="I133" s="5">
        <v>108395</v>
      </c>
      <c r="J133">
        <v>78</v>
      </c>
      <c r="K133" t="str">
        <f t="shared" si="7"/>
        <v>Achieving</v>
      </c>
      <c r="L133">
        <f t="shared" si="8"/>
        <v>5419.75</v>
      </c>
      <c r="M133" t="s">
        <v>233</v>
      </c>
    </row>
    <row r="134" spans="1:13">
      <c r="A134" t="s">
        <v>177</v>
      </c>
      <c r="B134" t="s">
        <v>78</v>
      </c>
      <c r="C134" t="s">
        <v>27</v>
      </c>
      <c r="D134" t="str">
        <f t="shared" si="6"/>
        <v>Melissa Johnson</v>
      </c>
      <c r="E134" t="s">
        <v>22</v>
      </c>
      <c r="F134" t="str">
        <f>VLOOKUP(E134, Lookup_Departments!A:B, 2, FALSE)</f>
        <v>Finance</v>
      </c>
      <c r="G134" s="2">
        <v>43091</v>
      </c>
      <c r="H134" s="6" t="s">
        <v>216</v>
      </c>
      <c r="I134" s="5">
        <v>88005</v>
      </c>
      <c r="J134">
        <v>69</v>
      </c>
      <c r="K134" t="str">
        <f t="shared" si="7"/>
        <v>Developing</v>
      </c>
      <c r="L134">
        <f t="shared" si="8"/>
        <v>1760.1000000000001</v>
      </c>
      <c r="M134" t="s">
        <v>232</v>
      </c>
    </row>
    <row r="135" spans="1:13">
      <c r="A135" t="s">
        <v>178</v>
      </c>
      <c r="B135" t="s">
        <v>42</v>
      </c>
      <c r="C135" t="s">
        <v>97</v>
      </c>
      <c r="D135" t="str">
        <f t="shared" si="6"/>
        <v>Jane Garcia</v>
      </c>
      <c r="E135" t="s">
        <v>15</v>
      </c>
      <c r="F135" t="str">
        <f>VLOOKUP(E135, Lookup_Departments!A:B, 2, FALSE)</f>
        <v>Marketing</v>
      </c>
      <c r="G135" s="2">
        <v>44437</v>
      </c>
      <c r="H135" s="6" t="s">
        <v>217</v>
      </c>
      <c r="I135" s="5">
        <v>83007</v>
      </c>
      <c r="J135">
        <v>82</v>
      </c>
      <c r="K135" t="str">
        <f t="shared" si="7"/>
        <v>Achieving</v>
      </c>
      <c r="L135">
        <f t="shared" si="8"/>
        <v>4150.3500000000004</v>
      </c>
      <c r="M135" t="s">
        <v>232</v>
      </c>
    </row>
    <row r="136" spans="1:13">
      <c r="A136" t="s">
        <v>179</v>
      </c>
      <c r="B136" t="s">
        <v>83</v>
      </c>
      <c r="C136" t="s">
        <v>50</v>
      </c>
      <c r="D136" t="str">
        <f t="shared" si="6"/>
        <v>David Davis</v>
      </c>
      <c r="E136" t="s">
        <v>11</v>
      </c>
      <c r="F136" t="str">
        <f>VLOOKUP(E136, Lookup_Departments!A:B, 2, FALSE)</f>
        <v>Information Technology</v>
      </c>
      <c r="G136" s="2">
        <v>43360</v>
      </c>
      <c r="H136" s="6" t="s">
        <v>224</v>
      </c>
      <c r="I136" s="5">
        <v>61547</v>
      </c>
      <c r="J136">
        <v>68</v>
      </c>
      <c r="K136" t="str">
        <f t="shared" si="7"/>
        <v>Developing</v>
      </c>
      <c r="L136">
        <f t="shared" si="8"/>
        <v>1230.94</v>
      </c>
      <c r="M136" t="s">
        <v>232</v>
      </c>
    </row>
    <row r="137" spans="1:13">
      <c r="A137" t="s">
        <v>180</v>
      </c>
      <c r="B137" t="s">
        <v>52</v>
      </c>
      <c r="C137" t="s">
        <v>30</v>
      </c>
      <c r="D137" t="str">
        <f t="shared" si="6"/>
        <v>James Wilson</v>
      </c>
      <c r="E137" t="s">
        <v>37</v>
      </c>
      <c r="F137" t="str">
        <f>VLOOKUP(E137, Lookup_Departments!A:B, 2, FALSE)</f>
        <v>Sales</v>
      </c>
      <c r="G137" s="2">
        <v>44375</v>
      </c>
      <c r="H137" s="6" t="s">
        <v>222</v>
      </c>
      <c r="I137" s="5">
        <v>0</v>
      </c>
      <c r="J137">
        <v>52</v>
      </c>
      <c r="K137" t="str">
        <f t="shared" si="7"/>
        <v>Developing</v>
      </c>
      <c r="L137">
        <f t="shared" si="8"/>
        <v>0</v>
      </c>
      <c r="M137" t="s">
        <v>232</v>
      </c>
    </row>
    <row r="138" spans="1:13">
      <c r="A138" t="s">
        <v>181</v>
      </c>
      <c r="B138" t="s">
        <v>13</v>
      </c>
      <c r="C138" t="s">
        <v>27</v>
      </c>
      <c r="D138" t="str">
        <f t="shared" si="6"/>
        <v>Richard Johnson</v>
      </c>
      <c r="E138" t="s">
        <v>28</v>
      </c>
      <c r="F138" t="str">
        <f>VLOOKUP(E138, Lookup_Departments!A:B, 2, FALSE)</f>
        <v>Operations</v>
      </c>
      <c r="G138" s="2">
        <v>43011</v>
      </c>
      <c r="H138" s="6" t="s">
        <v>216</v>
      </c>
      <c r="I138" s="5">
        <v>50399</v>
      </c>
      <c r="J138">
        <v>92</v>
      </c>
      <c r="K138" t="str">
        <f t="shared" si="7"/>
        <v>Exceeding</v>
      </c>
      <c r="L138">
        <f t="shared" si="8"/>
        <v>4031.92</v>
      </c>
      <c r="M138" t="s">
        <v>233</v>
      </c>
    </row>
    <row r="139" spans="1:13">
      <c r="A139" t="s">
        <v>182</v>
      </c>
      <c r="B139" t="s">
        <v>13</v>
      </c>
      <c r="C139" t="s">
        <v>43</v>
      </c>
      <c r="D139" t="str">
        <f t="shared" si="6"/>
        <v>Richard Williams</v>
      </c>
      <c r="E139" t="s">
        <v>22</v>
      </c>
      <c r="F139" t="str">
        <f>VLOOKUP(E139, Lookup_Departments!A:B, 2, FALSE)</f>
        <v>Finance</v>
      </c>
      <c r="G139" s="2">
        <v>42299</v>
      </c>
      <c r="H139" s="6" t="s">
        <v>218</v>
      </c>
      <c r="I139" s="5">
        <v>0</v>
      </c>
      <c r="J139">
        <v>62</v>
      </c>
      <c r="K139" t="str">
        <f t="shared" si="7"/>
        <v>Developing</v>
      </c>
      <c r="L139">
        <f t="shared" si="8"/>
        <v>0</v>
      </c>
      <c r="M139" t="s">
        <v>232</v>
      </c>
    </row>
    <row r="140" spans="1:13">
      <c r="A140" t="s">
        <v>183</v>
      </c>
      <c r="B140" t="s">
        <v>20</v>
      </c>
      <c r="C140" t="s">
        <v>14</v>
      </c>
      <c r="D140" t="str">
        <f t="shared" si="6"/>
        <v>John Hernandez</v>
      </c>
      <c r="E140" t="s">
        <v>28</v>
      </c>
      <c r="F140" t="str">
        <f>VLOOKUP(E140, Lookup_Departments!A:B, 2, FALSE)</f>
        <v>Operations</v>
      </c>
      <c r="G140" s="2">
        <v>43257</v>
      </c>
      <c r="H140" s="6" t="s">
        <v>216</v>
      </c>
      <c r="I140" s="5">
        <v>52720</v>
      </c>
      <c r="J140">
        <v>68</v>
      </c>
      <c r="K140" t="str">
        <f t="shared" si="7"/>
        <v>Developing</v>
      </c>
      <c r="L140">
        <f t="shared" si="8"/>
        <v>1054.4000000000001</v>
      </c>
      <c r="M140" t="s">
        <v>232</v>
      </c>
    </row>
    <row r="141" spans="1:13">
      <c r="A141" t="s">
        <v>184</v>
      </c>
      <c r="B141" t="s">
        <v>71</v>
      </c>
      <c r="C141" t="s">
        <v>18</v>
      </c>
      <c r="D141" t="str">
        <f t="shared" si="6"/>
        <v>Sarah Gonzalez</v>
      </c>
      <c r="E141" t="s">
        <v>28</v>
      </c>
      <c r="F141" t="str">
        <f>VLOOKUP(E141, Lookup_Departments!A:B, 2, FALSE)</f>
        <v>Operations</v>
      </c>
      <c r="G141" s="2">
        <v>42932</v>
      </c>
      <c r="H141" s="6" t="s">
        <v>216</v>
      </c>
      <c r="I141" s="5">
        <v>65065</v>
      </c>
      <c r="J141">
        <v>98</v>
      </c>
      <c r="K141" t="str">
        <f t="shared" si="7"/>
        <v>Outstanding</v>
      </c>
      <c r="L141">
        <f t="shared" si="8"/>
        <v>7807.7999999999993</v>
      </c>
      <c r="M141" t="s">
        <v>232</v>
      </c>
    </row>
    <row r="142" spans="1:13">
      <c r="A142" t="s">
        <v>185</v>
      </c>
      <c r="B142" t="s">
        <v>78</v>
      </c>
      <c r="C142" t="s">
        <v>14</v>
      </c>
      <c r="D142" t="str">
        <f t="shared" si="6"/>
        <v>Melissa Hernandez</v>
      </c>
      <c r="E142" t="s">
        <v>37</v>
      </c>
      <c r="F142" t="str">
        <f>VLOOKUP(E142, Lookup_Departments!A:B, 2, FALSE)</f>
        <v>Sales</v>
      </c>
      <c r="G142" s="2">
        <v>42175</v>
      </c>
      <c r="H142" s="6" t="s">
        <v>225</v>
      </c>
      <c r="I142" s="5">
        <v>0</v>
      </c>
      <c r="J142">
        <v>94</v>
      </c>
      <c r="K142" t="str">
        <f t="shared" si="7"/>
        <v>Exceeding</v>
      </c>
      <c r="L142">
        <f t="shared" si="8"/>
        <v>0</v>
      </c>
      <c r="M142" t="s">
        <v>234</v>
      </c>
    </row>
    <row r="143" spans="1:13">
      <c r="A143" t="s">
        <v>186</v>
      </c>
      <c r="B143" t="s">
        <v>78</v>
      </c>
      <c r="C143" t="s">
        <v>14</v>
      </c>
      <c r="D143" t="str">
        <f t="shared" si="6"/>
        <v>Melissa Hernandez</v>
      </c>
      <c r="E143" t="s">
        <v>28</v>
      </c>
      <c r="F143" t="str">
        <f>VLOOKUP(E143, Lookup_Departments!A:B, 2, FALSE)</f>
        <v>Operations</v>
      </c>
      <c r="G143" s="2">
        <v>43609</v>
      </c>
      <c r="H143" s="6" t="s">
        <v>224</v>
      </c>
      <c r="I143" s="5">
        <v>108119</v>
      </c>
      <c r="J143">
        <v>57</v>
      </c>
      <c r="K143" t="str">
        <f t="shared" si="7"/>
        <v>Developing</v>
      </c>
      <c r="L143">
        <f t="shared" si="8"/>
        <v>2162.38</v>
      </c>
      <c r="M143" t="s">
        <v>234</v>
      </c>
    </row>
    <row r="144" spans="1:13">
      <c r="A144" t="s">
        <v>187</v>
      </c>
      <c r="B144" t="s">
        <v>20</v>
      </c>
      <c r="C144" t="s">
        <v>50</v>
      </c>
      <c r="D144" t="str">
        <f t="shared" si="6"/>
        <v>John Davis</v>
      </c>
      <c r="E144" t="s">
        <v>11</v>
      </c>
      <c r="F144" t="str">
        <f>VLOOKUP(E144, Lookup_Departments!A:B, 2, FALSE)</f>
        <v>Information Technology</v>
      </c>
      <c r="G144" s="2">
        <v>43887</v>
      </c>
      <c r="H144" s="6" t="s">
        <v>220</v>
      </c>
      <c r="I144" s="5">
        <v>0</v>
      </c>
      <c r="J144">
        <v>96</v>
      </c>
      <c r="K144" t="str">
        <f t="shared" si="7"/>
        <v>Outstanding</v>
      </c>
      <c r="L144">
        <f t="shared" si="8"/>
        <v>0</v>
      </c>
      <c r="M144" t="s">
        <v>232</v>
      </c>
    </row>
    <row r="145" spans="1:13">
      <c r="A145" t="s">
        <v>188</v>
      </c>
      <c r="B145" t="s">
        <v>13</v>
      </c>
      <c r="C145" t="s">
        <v>50</v>
      </c>
      <c r="D145" t="str">
        <f t="shared" si="6"/>
        <v>Richard Davis</v>
      </c>
      <c r="E145" t="s">
        <v>73</v>
      </c>
      <c r="F145" t="str">
        <f>VLOOKUP(E145, Lookup_Departments!A:B, 2, FALSE)</f>
        <v>Human Resources</v>
      </c>
      <c r="G145" s="2">
        <v>44991</v>
      </c>
      <c r="H145" s="6" t="s">
        <v>219</v>
      </c>
      <c r="I145" s="5">
        <v>106896</v>
      </c>
      <c r="J145">
        <v>52</v>
      </c>
      <c r="K145" t="str">
        <f t="shared" si="7"/>
        <v>Developing</v>
      </c>
      <c r="L145">
        <f t="shared" si="8"/>
        <v>2137.92</v>
      </c>
      <c r="M145" t="s">
        <v>233</v>
      </c>
    </row>
    <row r="146" spans="1:13">
      <c r="A146" t="s">
        <v>189</v>
      </c>
      <c r="B146" t="s">
        <v>212</v>
      </c>
      <c r="C146" t="s">
        <v>47</v>
      </c>
      <c r="D146" t="str">
        <f t="shared" si="6"/>
        <v>Unknown Jones</v>
      </c>
      <c r="E146" t="s">
        <v>11</v>
      </c>
      <c r="F146" t="str">
        <f>VLOOKUP(E146, Lookup_Departments!A:B, 2, FALSE)</f>
        <v>Information Technology</v>
      </c>
      <c r="G146" s="2">
        <v>43477</v>
      </c>
      <c r="H146" s="6" t="s">
        <v>224</v>
      </c>
      <c r="I146" s="5">
        <v>112887</v>
      </c>
      <c r="J146">
        <v>59</v>
      </c>
      <c r="K146" t="str">
        <f t="shared" si="7"/>
        <v>Developing</v>
      </c>
      <c r="L146">
        <f t="shared" si="8"/>
        <v>2257.7400000000002</v>
      </c>
      <c r="M146" t="s">
        <v>232</v>
      </c>
    </row>
    <row r="147" spans="1:13">
      <c r="A147" t="s">
        <v>190</v>
      </c>
      <c r="B147" t="s">
        <v>115</v>
      </c>
      <c r="C147" t="s">
        <v>34</v>
      </c>
      <c r="D147" t="str">
        <f t="shared" si="6"/>
        <v>William Rodriguez</v>
      </c>
      <c r="E147" t="s">
        <v>22</v>
      </c>
      <c r="F147" t="str">
        <f>VLOOKUP(E147, Lookup_Departments!A:B, 2, FALSE)</f>
        <v>Finance</v>
      </c>
      <c r="G147" s="2">
        <v>45037</v>
      </c>
      <c r="H147" s="6" t="s">
        <v>219</v>
      </c>
      <c r="I147" s="5">
        <v>85457</v>
      </c>
      <c r="J147">
        <v>79</v>
      </c>
      <c r="K147" t="str">
        <f t="shared" si="7"/>
        <v>Achieving</v>
      </c>
      <c r="L147">
        <f t="shared" si="8"/>
        <v>4272.8500000000004</v>
      </c>
      <c r="M147" t="s">
        <v>232</v>
      </c>
    </row>
    <row r="148" spans="1:13">
      <c r="A148" t="s">
        <v>191</v>
      </c>
      <c r="B148" t="s">
        <v>78</v>
      </c>
      <c r="C148" t="s">
        <v>39</v>
      </c>
      <c r="D148" t="str">
        <f t="shared" si="6"/>
        <v>Melissa Miller</v>
      </c>
      <c r="E148" t="s">
        <v>37</v>
      </c>
      <c r="F148" t="str">
        <f>VLOOKUP(E148, Lookup_Departments!A:B, 2, FALSE)</f>
        <v>Sales</v>
      </c>
      <c r="G148" s="2">
        <v>42519</v>
      </c>
      <c r="H148" s="6" t="s">
        <v>218</v>
      </c>
      <c r="I148" s="5">
        <v>62798</v>
      </c>
      <c r="J148">
        <v>30</v>
      </c>
      <c r="K148" t="str">
        <f t="shared" si="7"/>
        <v>Needs Improvement</v>
      </c>
      <c r="L148">
        <f t="shared" si="8"/>
        <v>0</v>
      </c>
      <c r="M148" t="s">
        <v>232</v>
      </c>
    </row>
    <row r="149" spans="1:13">
      <c r="A149" t="s">
        <v>192</v>
      </c>
      <c r="B149" t="s">
        <v>9</v>
      </c>
      <c r="C149" t="s">
        <v>21</v>
      </c>
      <c r="D149" t="str">
        <f t="shared" si="6"/>
        <v>Emily Martinez</v>
      </c>
      <c r="E149" t="s">
        <v>28</v>
      </c>
      <c r="F149" t="str">
        <f>VLOOKUP(E149, Lookup_Departments!A:B, 2, FALSE)</f>
        <v>Operations</v>
      </c>
      <c r="G149" s="2">
        <v>44711</v>
      </c>
      <c r="H149" s="6" t="s">
        <v>217</v>
      </c>
      <c r="I149" s="5">
        <v>47794</v>
      </c>
      <c r="J149">
        <v>73</v>
      </c>
      <c r="K149" t="str">
        <f t="shared" si="7"/>
        <v>Achieving</v>
      </c>
      <c r="L149">
        <f t="shared" si="8"/>
        <v>2389.7000000000003</v>
      </c>
      <c r="M149" t="s">
        <v>233</v>
      </c>
    </row>
    <row r="150" spans="1:13">
      <c r="A150" t="s">
        <v>193</v>
      </c>
      <c r="B150" t="s">
        <v>52</v>
      </c>
      <c r="C150" t="s">
        <v>34</v>
      </c>
      <c r="D150" t="str">
        <f t="shared" si="6"/>
        <v>James Rodriguez</v>
      </c>
      <c r="E150" t="s">
        <v>15</v>
      </c>
      <c r="F150" t="str">
        <f>VLOOKUP(E150, Lookup_Departments!A:B, 2, FALSE)</f>
        <v>Marketing</v>
      </c>
      <c r="G150" s="2">
        <v>42677</v>
      </c>
      <c r="H150" s="6" t="s">
        <v>223</v>
      </c>
      <c r="I150" s="5">
        <v>93094</v>
      </c>
      <c r="J150">
        <v>74</v>
      </c>
      <c r="K150" t="str">
        <f t="shared" si="7"/>
        <v>Achieving</v>
      </c>
      <c r="L150">
        <f t="shared" si="8"/>
        <v>4654.7</v>
      </c>
      <c r="M150" t="s">
        <v>232</v>
      </c>
    </row>
    <row r="151" spans="1:13">
      <c r="A151" t="s">
        <v>194</v>
      </c>
      <c r="B151" t="s">
        <v>57</v>
      </c>
      <c r="C151" t="s">
        <v>10</v>
      </c>
      <c r="D151" t="str">
        <f t="shared" si="6"/>
        <v>Amanda Brown</v>
      </c>
      <c r="E151" t="s">
        <v>11</v>
      </c>
      <c r="F151" t="str">
        <f>VLOOKUP(E151, Lookup_Departments!A:B, 2, FALSE)</f>
        <v>Information Technology</v>
      </c>
      <c r="G151" s="2">
        <v>44848</v>
      </c>
      <c r="H151" s="6" t="s">
        <v>219</v>
      </c>
      <c r="I151" s="5">
        <v>118634</v>
      </c>
      <c r="J151">
        <v>91</v>
      </c>
      <c r="K151" t="str">
        <f t="shared" si="7"/>
        <v>Exceeding</v>
      </c>
      <c r="L151">
        <f t="shared" si="8"/>
        <v>9490.7199999999993</v>
      </c>
      <c r="M151" t="s">
        <v>232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cols>
    <col min="1" max="1" width="10.33203125" bestFit="1" customWidth="1"/>
    <col min="2" max="2" width="20.77734375" bestFit="1" customWidth="1"/>
  </cols>
  <sheetData>
    <row r="1" spans="1:2">
      <c r="A1" s="1" t="s">
        <v>195</v>
      </c>
      <c r="B1" s="1" t="s">
        <v>196</v>
      </c>
    </row>
    <row r="2" spans="1:2">
      <c r="A2" t="s">
        <v>73</v>
      </c>
      <c r="B2" t="s">
        <v>197</v>
      </c>
    </row>
    <row r="3" spans="1:2">
      <c r="A3" t="s">
        <v>11</v>
      </c>
      <c r="B3" t="s">
        <v>198</v>
      </c>
    </row>
    <row r="4" spans="1:2">
      <c r="A4" t="s">
        <v>22</v>
      </c>
      <c r="B4" t="s">
        <v>199</v>
      </c>
    </row>
    <row r="5" spans="1:2">
      <c r="A5" t="s">
        <v>15</v>
      </c>
      <c r="B5" t="s">
        <v>200</v>
      </c>
    </row>
    <row r="6" spans="1:2">
      <c r="A6" t="s">
        <v>37</v>
      </c>
      <c r="B6" t="s">
        <v>201</v>
      </c>
    </row>
    <row r="7" spans="1:2">
      <c r="A7" t="s">
        <v>28</v>
      </c>
      <c r="B7" t="s">
        <v>202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G5" sqref="G5"/>
    </sheetView>
  </sheetViews>
  <sheetFormatPr defaultRowHeight="14.4"/>
  <cols>
    <col min="3" max="3" width="17.77734375" bestFit="1" customWidth="1"/>
  </cols>
  <sheetData>
    <row r="1" spans="1:4">
      <c r="A1" s="1" t="s">
        <v>203</v>
      </c>
      <c r="B1" s="1" t="s">
        <v>204</v>
      </c>
      <c r="C1" s="1" t="s">
        <v>205</v>
      </c>
      <c r="D1" s="1" t="s">
        <v>206</v>
      </c>
    </row>
    <row r="2" spans="1:4">
      <c r="A2">
        <v>0</v>
      </c>
      <c r="B2">
        <v>49</v>
      </c>
      <c r="C2" t="s">
        <v>207</v>
      </c>
      <c r="D2">
        <v>0</v>
      </c>
    </row>
    <row r="3" spans="1:4">
      <c r="A3">
        <v>50</v>
      </c>
      <c r="B3">
        <v>69</v>
      </c>
      <c r="C3" t="s">
        <v>208</v>
      </c>
      <c r="D3">
        <v>0.02</v>
      </c>
    </row>
    <row r="4" spans="1:4">
      <c r="A4">
        <v>70</v>
      </c>
      <c r="B4">
        <v>84</v>
      </c>
      <c r="C4" t="s">
        <v>209</v>
      </c>
      <c r="D4">
        <v>0.05</v>
      </c>
    </row>
    <row r="5" spans="1:4">
      <c r="A5">
        <v>85</v>
      </c>
      <c r="B5">
        <v>94</v>
      </c>
      <c r="C5" t="s">
        <v>210</v>
      </c>
      <c r="D5">
        <v>0.08</v>
      </c>
    </row>
    <row r="6" spans="1:4">
      <c r="A6">
        <v>95</v>
      </c>
      <c r="B6">
        <v>100</v>
      </c>
      <c r="C6" t="s">
        <v>211</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Analysiss</vt:lpstr>
      <vt:lpstr>HR DASHBOARD</vt:lpstr>
      <vt:lpstr>Raw_Employee_Data</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Cisse Baba-yusuf</cp:lastModifiedBy>
  <dcterms:created xsi:type="dcterms:W3CDTF">2026-06-04T20:20:01Z</dcterms:created>
  <dcterms:modified xsi:type="dcterms:W3CDTF">2026-07-07T21:16:53Z</dcterms:modified>
</cp:coreProperties>
</file>